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3040" windowHeight="9072" firstSheet="1" activeTab="4"/>
  </bookViews>
  <sheets>
    <sheet name="TASK 1" sheetId="1" r:id="rId1"/>
    <sheet name="Sheet2" sheetId="2" r:id="rId2"/>
    <sheet name="Sheet1" sheetId="3" r:id="rId3"/>
    <sheet name="Sheet3" sheetId="4" r:id="rId4"/>
    <sheet name="Sheet5" sheetId="6" r:id="rId5"/>
    <sheet name="Sheet6" sheetId="8" r:id="rId6"/>
    <sheet name="Sheet4" sheetId="5" r:id="rId7"/>
    <sheet name="Dashboard" sheetId="7" r:id="rId8"/>
  </sheets>
  <definedNames>
    <definedName name="Slicer_Region">#N/A</definedName>
  </definedNames>
  <calcPr calcId="162913"/>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8" i="4" l="1"/>
  <c r="C67" i="4"/>
  <c r="C66" i="4"/>
  <c r="C65" i="4"/>
  <c r="C61" i="4"/>
  <c r="C60" i="4"/>
  <c r="C59" i="4"/>
  <c r="C58" i="4"/>
  <c r="D54" i="4"/>
  <c r="D53" i="4"/>
  <c r="D52" i="4"/>
  <c r="D51" i="4"/>
  <c r="D47" i="4"/>
  <c r="D46" i="4"/>
  <c r="D45" i="4"/>
  <c r="D44" i="4"/>
  <c r="D40" i="4"/>
  <c r="D39" i="4"/>
  <c r="D38" i="4"/>
  <c r="D37" i="4"/>
  <c r="D32" i="4"/>
  <c r="D31" i="4"/>
  <c r="D30" i="4"/>
  <c r="D29" i="4"/>
  <c r="C24" i="4"/>
  <c r="C23" i="4"/>
  <c r="C22" i="4"/>
  <c r="C21" i="4"/>
  <c r="C20" i="4"/>
  <c r="C15" i="4"/>
  <c r="C14" i="4"/>
  <c r="C13" i="4"/>
  <c r="C12" i="4"/>
  <c r="D6" i="4"/>
  <c r="D5" i="4"/>
  <c r="D4" i="4"/>
  <c r="D3" i="4"/>
  <c r="D2" i="4"/>
  <c r="F12" i="2"/>
  <c r="G11" i="2"/>
  <c r="F11" i="2"/>
  <c r="G10" i="2"/>
  <c r="F10" i="2"/>
</calcChain>
</file>

<file path=xl/sharedStrings.xml><?xml version="1.0" encoding="utf-8"?>
<sst xmlns="http://schemas.openxmlformats.org/spreadsheetml/2006/main" count="1417" uniqueCount="160">
  <si>
    <t xml:space="preserve">Emp Id </t>
  </si>
  <si>
    <t>Name</t>
  </si>
  <si>
    <t>Salary</t>
  </si>
  <si>
    <t>Joining Date</t>
  </si>
  <si>
    <t>E101</t>
  </si>
  <si>
    <t>E102</t>
  </si>
  <si>
    <t>E103</t>
  </si>
  <si>
    <t>E104</t>
  </si>
  <si>
    <t>E105</t>
  </si>
  <si>
    <t>E106</t>
  </si>
  <si>
    <t>E107</t>
  </si>
  <si>
    <t>E108</t>
  </si>
  <si>
    <t>E109</t>
  </si>
  <si>
    <t>E110</t>
  </si>
  <si>
    <t>E111</t>
  </si>
  <si>
    <t>E112</t>
  </si>
  <si>
    <t>DHRUV</t>
  </si>
  <si>
    <t>KUNAL</t>
  </si>
  <si>
    <t>PARTH</t>
  </si>
  <si>
    <t>Amit</t>
  </si>
  <si>
    <t>HR</t>
  </si>
  <si>
    <t>IT</t>
  </si>
  <si>
    <t>Sales</t>
  </si>
  <si>
    <t>Finance</t>
  </si>
  <si>
    <t xml:space="preserve">Department </t>
  </si>
  <si>
    <t>product name</t>
  </si>
  <si>
    <t>Region</t>
  </si>
  <si>
    <t>sales Amount</t>
  </si>
  <si>
    <t>SalesPerson</t>
  </si>
  <si>
    <t>Laptop Dell inspriron 15</t>
  </si>
  <si>
    <t>HP Wireless Mouse</t>
  </si>
  <si>
    <t>Samsung 24-inch Monitor</t>
  </si>
  <si>
    <t>Lenovo ThinkPad E14 Laptop</t>
  </si>
  <si>
    <t>North</t>
  </si>
  <si>
    <t>West</t>
  </si>
  <si>
    <t>East</t>
  </si>
  <si>
    <t>South</t>
  </si>
  <si>
    <t>Ramesh</t>
  </si>
  <si>
    <t>Sneha</t>
  </si>
  <si>
    <t>arjun</t>
  </si>
  <si>
    <t>Kavita</t>
  </si>
  <si>
    <t>Month sales Report</t>
  </si>
  <si>
    <t>total sum</t>
  </si>
  <si>
    <t>percantage</t>
  </si>
  <si>
    <t>Classes Counductd</t>
  </si>
  <si>
    <t>Attendence%</t>
  </si>
  <si>
    <t>Performance</t>
  </si>
  <si>
    <t>faculty Name</t>
  </si>
  <si>
    <t>Rajesh</t>
  </si>
  <si>
    <t>Dhruv</t>
  </si>
  <si>
    <t>Kunal</t>
  </si>
  <si>
    <t>Parth</t>
  </si>
  <si>
    <t>Anil</t>
  </si>
  <si>
    <t>roll No</t>
  </si>
  <si>
    <t>stu</t>
  </si>
  <si>
    <t>Roll No</t>
  </si>
  <si>
    <t xml:space="preserve">Students Name </t>
  </si>
  <si>
    <t>Marks</t>
  </si>
  <si>
    <t>Result</t>
  </si>
  <si>
    <t>Rohan</t>
  </si>
  <si>
    <t>Deepa</t>
  </si>
  <si>
    <t>TAKS =2</t>
  </si>
  <si>
    <t>EMP Name</t>
  </si>
  <si>
    <t>Bonus Status</t>
  </si>
  <si>
    <t>Rohit</t>
  </si>
  <si>
    <t>TASK=1</t>
  </si>
  <si>
    <t>TASK=3</t>
  </si>
  <si>
    <t xml:space="preserve">STUD Name </t>
  </si>
  <si>
    <t xml:space="preserve">Marks </t>
  </si>
  <si>
    <t>Grade</t>
  </si>
  <si>
    <t>(if)</t>
  </si>
  <si>
    <t>(Nested If)</t>
  </si>
  <si>
    <t>AMAN</t>
  </si>
  <si>
    <t>TASK=4</t>
  </si>
  <si>
    <t>(AND)</t>
  </si>
  <si>
    <t>NAME</t>
  </si>
  <si>
    <t>age</t>
  </si>
  <si>
    <t>Experience (years)</t>
  </si>
  <si>
    <t>Eligible</t>
  </si>
  <si>
    <t>DEEP</t>
  </si>
  <si>
    <t>TASK = 5</t>
  </si>
  <si>
    <t>STUD NAME</t>
  </si>
  <si>
    <t>ATTENDENCE</t>
  </si>
  <si>
    <t>ASSIGNMENT SUBMIT</t>
  </si>
  <si>
    <t>Yes</t>
  </si>
  <si>
    <t>yes</t>
  </si>
  <si>
    <t>NO</t>
  </si>
  <si>
    <t>Discount</t>
  </si>
  <si>
    <t xml:space="preserve">CUSTOMER NAME </t>
  </si>
  <si>
    <t>Membership</t>
  </si>
  <si>
    <t>DIVYA</t>
  </si>
  <si>
    <t>PURCHSE AMOUNT</t>
  </si>
  <si>
    <t>YES</t>
  </si>
  <si>
    <t>TASK=6</t>
  </si>
  <si>
    <t>OR</t>
  </si>
  <si>
    <t>TASK=7</t>
  </si>
  <si>
    <t>Applicant</t>
  </si>
  <si>
    <t>salary</t>
  </si>
  <si>
    <t>CIBIL Score</t>
  </si>
  <si>
    <t>LOAN Status</t>
  </si>
  <si>
    <t>simran</t>
  </si>
  <si>
    <t>vijay</t>
  </si>
  <si>
    <t>TAKS= 8</t>
  </si>
  <si>
    <t>(NOT)</t>
  </si>
  <si>
    <t>Present</t>
  </si>
  <si>
    <t>Status</t>
  </si>
  <si>
    <t>TASK=9</t>
  </si>
  <si>
    <t>(IFERROR)</t>
  </si>
  <si>
    <t>NUMBER 1</t>
  </si>
  <si>
    <t>NUMBER 2</t>
  </si>
  <si>
    <t>Employee Name</t>
  </si>
  <si>
    <t>Targets Achieved</t>
  </si>
  <si>
    <t>Attendance %</t>
  </si>
  <si>
    <t>Raj</t>
  </si>
  <si>
    <t>Sunita</t>
  </si>
  <si>
    <t>Manoj</t>
  </si>
  <si>
    <t>TASK=10</t>
  </si>
  <si>
    <t>Combined Logic</t>
  </si>
  <si>
    <t>Customer ID</t>
  </si>
  <si>
    <t>Customer Name</t>
  </si>
  <si>
    <t>Category</t>
  </si>
  <si>
    <t>Product</t>
  </si>
  <si>
    <t>Quantity</t>
  </si>
  <si>
    <t>Unit Price</t>
  </si>
  <si>
    <t>Date</t>
  </si>
  <si>
    <t>Total Sales</t>
  </si>
  <si>
    <t>Profit</t>
  </si>
  <si>
    <t>Vikas</t>
  </si>
  <si>
    <t>Accessories</t>
  </si>
  <si>
    <t>Mobile</t>
  </si>
  <si>
    <t>Clothing</t>
  </si>
  <si>
    <t>Shirt</t>
  </si>
  <si>
    <t>Anita</t>
  </si>
  <si>
    <t>Home Appliances</t>
  </si>
  <si>
    <t>Fridge</t>
  </si>
  <si>
    <t>Karan</t>
  </si>
  <si>
    <t>Electronics</t>
  </si>
  <si>
    <t>Camera</t>
  </si>
  <si>
    <t>Neha</t>
  </si>
  <si>
    <t>Ravi</t>
  </si>
  <si>
    <t>Microwave</t>
  </si>
  <si>
    <t>Headphones</t>
  </si>
  <si>
    <t>Pooja</t>
  </si>
  <si>
    <t>Laptop</t>
  </si>
  <si>
    <t>Priya</t>
  </si>
  <si>
    <t>Jeans</t>
  </si>
  <si>
    <t>Deepak</t>
  </si>
  <si>
    <t>Row Labels</t>
  </si>
  <si>
    <t>Grand Total</t>
  </si>
  <si>
    <t>Sum of Total Sales</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</si>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</sst>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4009]\ * #,##0.00_ ;_ [$₹-4009]\ * \-#,##0.00_ ;_ [$₹-4009]\ * &quot;-&quot;??_ ;_ @_ "/>
    <numFmt numFmtId="165" formatCode="&quot;₹&quot;\ #,##0.00"/>
  </numFmts>
  <fonts count="14" x14ac:knownFonts="1">
    <font>
      <sz val="11"/>
      <color theme="1"/>
      <name val="Calibri"/>
      <family val="2"/>
      <scheme val="minor"/>
    </font>
    <font>
      <sz val="8"/>
      <name val="Calibri"/>
      <family val="2"/>
      <scheme val="minor"/>
    </font>
    <font>
      <b/>
      <sz val="20"/>
      <color theme="1"/>
      <name val="Calibri"/>
      <family val="2"/>
      <scheme val="minor"/>
    </font>
    <font>
      <sz val="14"/>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b/>
      <sz val="14"/>
      <color theme="1"/>
      <name val="Calibri"/>
      <family val="2"/>
      <scheme val="minor"/>
    </font>
    <font>
      <sz val="11"/>
      <color theme="7" tint="-0.249977111117893"/>
      <name val="Calibri"/>
      <family val="2"/>
      <scheme val="minor"/>
    </font>
    <font>
      <b/>
      <sz val="11"/>
      <color theme="7" tint="-0.249977111117893"/>
      <name val="Calibri"/>
      <family val="2"/>
      <scheme val="minor"/>
    </font>
    <font>
      <b/>
      <sz val="11"/>
      <color theme="4" tint="0.79998168889431442"/>
      <name val="Calibri"/>
      <family val="2"/>
      <scheme val="minor"/>
    </font>
    <font>
      <sz val="11"/>
      <color theme="2"/>
      <name val="Calibri"/>
      <family val="2"/>
      <scheme val="minor"/>
    </font>
    <font>
      <sz val="12"/>
      <color rgb="FF1F2328"/>
      <name val="Segoe UI"/>
      <family val="2"/>
    </font>
    <font>
      <sz val="12"/>
      <color theme="2"/>
      <name val="Segoe UI"/>
      <family val="2"/>
    </font>
  </fonts>
  <fills count="9">
    <fill>
      <patternFill patternType="none"/>
    </fill>
    <fill>
      <patternFill patternType="gray125"/>
    </fill>
    <fill>
      <patternFill patternType="solid">
        <fgColor theme="2" tint="-9.9978637043366805E-2"/>
        <bgColor indexed="64"/>
      </patternFill>
    </fill>
    <fill>
      <patternFill patternType="solid">
        <fgColor rgb="FFF2F2F2"/>
      </patternFill>
    </fill>
    <fill>
      <patternFill patternType="solid">
        <fgColor rgb="FFFFFF00"/>
        <bgColor indexed="64"/>
      </patternFill>
    </fill>
    <fill>
      <patternFill patternType="solid">
        <fgColor theme="3"/>
        <bgColor indexed="64"/>
      </patternFill>
    </fill>
    <fill>
      <patternFill patternType="solid">
        <fgColor theme="2" tint="-0.749992370372631"/>
        <bgColor indexed="64"/>
      </patternFill>
    </fill>
    <fill>
      <patternFill patternType="solid">
        <fgColor rgb="FFFFFFFF"/>
        <bgColor indexed="64"/>
      </patternFill>
    </fill>
    <fill>
      <patternFill patternType="solid">
        <fgColor rgb="FFF6F8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rgb="FFD1D9E0"/>
      </left>
      <right style="medium">
        <color rgb="FFD1D9E0"/>
      </right>
      <top style="medium">
        <color rgb="FFD1D9E0"/>
      </top>
      <bottom style="medium">
        <color rgb="FFD1D9E0"/>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3" borderId="2" applyNumberFormat="0" applyAlignment="0" applyProtection="0"/>
  </cellStyleXfs>
  <cellXfs count="27">
    <xf numFmtId="0" fontId="0" fillId="0" borderId="0" xfId="0"/>
    <xf numFmtId="0" fontId="2" fillId="2" borderId="1" xfId="0" applyFont="1" applyFill="1" applyBorder="1"/>
    <xf numFmtId="0" fontId="3" fillId="0" borderId="1" xfId="0" applyFont="1" applyBorder="1"/>
    <xf numFmtId="164" fontId="3" fillId="0" borderId="1" xfId="0" applyNumberFormat="1" applyFont="1" applyBorder="1"/>
    <xf numFmtId="14" fontId="3" fillId="0" borderId="1" xfId="0" applyNumberFormat="1" applyFont="1" applyBorder="1"/>
    <xf numFmtId="0" fontId="7" fillId="0" borderId="0" xfId="0" applyFont="1"/>
    <xf numFmtId="0" fontId="0" fillId="0" borderId="0" xfId="0" applyAlignment="1">
      <alignment horizontal="center"/>
    </xf>
    <xf numFmtId="165" fontId="0" fillId="0" borderId="0" xfId="0" applyNumberFormat="1" applyAlignment="1">
      <alignment horizontal="center"/>
    </xf>
    <xf numFmtId="9" fontId="0" fillId="0" borderId="0" xfId="2" applyFont="1"/>
    <xf numFmtId="0" fontId="5" fillId="3" borderId="2" xfId="3"/>
    <xf numFmtId="43" fontId="0" fillId="0" borderId="0" xfId="1" applyFont="1"/>
    <xf numFmtId="0" fontId="7" fillId="4" borderId="0" xfId="0" applyFont="1" applyFill="1"/>
    <xf numFmtId="0" fontId="7" fillId="4" borderId="0" xfId="0" applyFont="1" applyFill="1" applyAlignment="1">
      <alignment vertical="center"/>
    </xf>
    <xf numFmtId="0" fontId="6" fillId="0" borderId="0" xfId="0" applyFont="1"/>
    <xf numFmtId="0" fontId="0" fillId="5" borderId="0" xfId="0" applyFill="1"/>
    <xf numFmtId="0" fontId="8" fillId="0" borderId="0" xfId="0" applyFont="1"/>
    <xf numFmtId="0" fontId="9" fillId="0" borderId="0" xfId="0" applyFont="1"/>
    <xf numFmtId="0" fontId="6" fillId="5" borderId="0" xfId="0" applyFont="1" applyFill="1"/>
    <xf numFmtId="0" fontId="10" fillId="6" borderId="0" xfId="0" applyFont="1" applyFill="1"/>
    <xf numFmtId="0" fontId="11" fillId="6" borderId="0" xfId="0" applyFont="1" applyFill="1"/>
    <xf numFmtId="0" fontId="12" fillId="7" borderId="3" xfId="0" applyFont="1" applyFill="1" applyBorder="1" applyAlignment="1">
      <alignment horizontal="left" vertical="center" wrapText="1" indent="1"/>
    </xf>
    <xf numFmtId="0" fontId="12" fillId="8" borderId="3" xfId="0" applyFont="1" applyFill="1" applyBorder="1" applyAlignment="1">
      <alignment horizontal="left" vertical="center" wrapText="1" indent="1"/>
    </xf>
    <xf numFmtId="0" fontId="13" fillId="6" borderId="3" xfId="0" applyFont="1" applyFill="1" applyBorder="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
    <cellStyle name="Calculation" xfId="3" builtinId="22"/>
    <cellStyle name="Comma" xfId="1" builtinId="3"/>
    <cellStyle name="Normal" xfId="0" builtinId="0"/>
    <cellStyle name="Percent" xfId="2" builtinId="5"/>
  </cellStyles>
  <dxfs count="3">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tableStyle name="Slicer Style 2" pivot="0" table="0" count="1">
      <tableStyleElement type="wholeTable" dxfId="2"/>
    </tableStyle>
    <tableStyle name="Slicer Style 3"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30.xlsx]Sheet5!PivotTable7</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Sheet5!$F$4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C4DA-4E9D-94DD-32BF330BF34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4DA-4E9D-94DD-32BF330BF34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147-4F88-B9BC-DFA50370AC74}"/>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147-4F88-B9BC-DFA50370AC74}"/>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4DA-4E9D-94DD-32BF330BF344}"/>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4DA-4E9D-94DD-32BF330BF344}"/>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147-4F88-B9BC-DFA50370AC74}"/>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2147-4F88-B9BC-DFA50370A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Sheet5!$E$5:$E$9</c:f>
              <c:strCache>
                <c:ptCount val="4"/>
                <c:pt idx="0">
                  <c:v>Accessories</c:v>
                </c:pt>
                <c:pt idx="1">
                  <c:v>Clothing</c:v>
                </c:pt>
                <c:pt idx="2">
                  <c:v>Electronics</c:v>
                </c:pt>
                <c:pt idx="3">
                  <c:v>Home Appliances</c:v>
                </c:pt>
              </c:strCache>
            </c:strRef>
          </c:cat>
          <c:val>
            <c:numRef>
              <c:f>Sheet5!$F$5:$F$9</c:f>
              <c:numCache>
                <c:formatCode>General</c:formatCode>
                <c:ptCount val="4"/>
                <c:pt idx="0">
                  <c:v>2600826</c:v>
                </c:pt>
                <c:pt idx="1">
                  <c:v>658400</c:v>
                </c:pt>
                <c:pt idx="2">
                  <c:v>2479798</c:v>
                </c:pt>
                <c:pt idx="3">
                  <c:v>2410739</c:v>
                </c:pt>
              </c:numCache>
            </c:numRef>
          </c:val>
          <c:extLst>
            <c:ext xmlns:c16="http://schemas.microsoft.com/office/drawing/2014/chart" uri="{C3380CC4-5D6E-409C-BE32-E72D297353CC}">
              <c16:uniqueId val="{00000000-C4DA-4E9D-94DD-32BF330BF3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30.xlsx]Sheet5!PivotTable6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A358-43A3-9271-6927599E8D5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A358-43A3-9271-6927599E8D5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A358-43A3-9271-6927599E8D5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A358-43A3-9271-6927599E8D5A}"/>
              </c:ext>
            </c:extLst>
          </c:dPt>
          <c:dLbls>
            <c:dLbl>
              <c:idx val="0"/>
              <c:layout>
                <c:manualLayout>
                  <c:x val="-0.14444444444444443"/>
                  <c:y val="3.24074074074074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358-43A3-9271-6927599E8D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Sheet5!$A$4:$A$5</c:f>
              <c:strCache>
                <c:ptCount val="1"/>
                <c:pt idx="0">
                  <c:v>South</c:v>
                </c:pt>
              </c:strCache>
            </c:strRef>
          </c:cat>
          <c:val>
            <c:numRef>
              <c:f>Sheet5!$B$4:$B$5</c:f>
              <c:numCache>
                <c:formatCode>General</c:formatCode>
                <c:ptCount val="1"/>
                <c:pt idx="0">
                  <c:v>8149763</c:v>
                </c:pt>
              </c:numCache>
            </c:numRef>
          </c:val>
          <c:extLst>
            <c:ext xmlns:c16="http://schemas.microsoft.com/office/drawing/2014/chart" uri="{C3380CC4-5D6E-409C-BE32-E72D297353CC}">
              <c16:uniqueId val="{00000000-A358-43A3-9271-6927599E8D5A}"/>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30.xlsx]Sheet5!PivotTable1</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Sheet5!$E$17:$E$25</c:f>
              <c:strCache>
                <c:ptCount val="8"/>
                <c:pt idx="0">
                  <c:v>Camera</c:v>
                </c:pt>
                <c:pt idx="1">
                  <c:v>Fridge</c:v>
                </c:pt>
                <c:pt idx="2">
                  <c:v>Headphones</c:v>
                </c:pt>
                <c:pt idx="3">
                  <c:v>Jeans</c:v>
                </c:pt>
                <c:pt idx="4">
                  <c:v>Laptop</c:v>
                </c:pt>
                <c:pt idx="5">
                  <c:v>Microwave</c:v>
                </c:pt>
                <c:pt idx="6">
                  <c:v>Mobile</c:v>
                </c:pt>
                <c:pt idx="7">
                  <c:v>Shirt</c:v>
                </c:pt>
              </c:strCache>
            </c:strRef>
          </c:cat>
          <c:val>
            <c:numRef>
              <c:f>Sheet5!$F$17:$F$25</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00-88A9-4A4F-958F-5C97EC8F20AA}"/>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[DHRUV 30.xlsx]Sheet5!PivotTable8</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Sheet5!$B$13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Sheet5!$A$14:$A$24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Sheet5!$B$14:$B$24</c:f>
              <c:numCache>
                <c:formatCode>General</c:formatCode>
                <c:ptCount val="10"/>
                <c:pt idx="0">
                  <c:v>869592</c:v>
                </c:pt>
                <c:pt idx="1">
                  <c:v>802709</c:v>
                </c:pt>
                <c:pt idx="2">
                  <c:v>940902</c:v>
                </c:pt>
                <c:pt idx="3">
                  <c:v>338628</c:v>
                </c:pt>
                <c:pt idx="4">
                  <c:v>1220329</c:v>
                </c:pt>
                <c:pt idx="5">
                  <c:v>928358</c:v>
                </c:pt>
                <c:pt idx="6">
                  <c:v>1207740</c:v>
                </c:pt>
                <c:pt idx="7">
                  <c:v>304777</c:v>
                </c:pt>
                <c:pt idx="8">
                  <c:v>1410906</c:v>
                </c:pt>
                <c:pt idx="9">
                  <c:v>125822</c:v>
                </c:pt>
              </c:numCache>
            </c:numRef>
          </c:val>
          <c:smooth val="0"/>
          <c:extLst>
            <c:ext xmlns:c16="http://schemas.microsoft.com/office/drawing/2014/chart" uri="{C3380CC4-5D6E-409C-BE32-E72D297353CC}">
              <c16:uniqueId val="{00000000-A4F6-4CB6-8997-95ADBDEFAE38}"/>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30.xlsx]Sheet5!PivotTable7</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Sheet5!$F$4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BCB-42C1-8CF3-75B76A94476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BCB-42C1-8CF3-75B76A94476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BCB-42C1-8CF3-75B76A94476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BCB-42C1-8CF3-75B76A944766}"/>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BCB-42C1-8CF3-75B76A944766}"/>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BCB-42C1-8CF3-75B76A944766}"/>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BCB-42C1-8CF3-75B76A944766}"/>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BCB-42C1-8CF3-75B76A9447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Sheet5!$E$5:$E$9</c:f>
              <c:strCache>
                <c:ptCount val="4"/>
                <c:pt idx="0">
                  <c:v>Accessories</c:v>
                </c:pt>
                <c:pt idx="1">
                  <c:v>Clothing</c:v>
                </c:pt>
                <c:pt idx="2">
                  <c:v>Electronics</c:v>
                </c:pt>
                <c:pt idx="3">
                  <c:v>Home Appliances</c:v>
                </c:pt>
              </c:strCache>
            </c:strRef>
          </c:cat>
          <c:val>
            <c:numRef>
              <c:f>Sheet5!$F$5:$F$9</c:f>
              <c:numCache>
                <c:formatCode>General</c:formatCode>
                <c:ptCount val="4"/>
                <c:pt idx="0">
                  <c:v>2600826</c:v>
                </c:pt>
                <c:pt idx="1">
                  <c:v>658400</c:v>
                </c:pt>
                <c:pt idx="2">
                  <c:v>2479798</c:v>
                </c:pt>
                <c:pt idx="3">
                  <c:v>2410739</c:v>
                </c:pt>
              </c:numCache>
            </c:numRef>
          </c:val>
          <c:extLst>
            <c:ext xmlns:c16="http://schemas.microsoft.com/office/drawing/2014/chart" uri="{C3380CC4-5D6E-409C-BE32-E72D297353CC}">
              <c16:uniqueId val="{00000008-0BCB-42C1-8CF3-75B76A94476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30.xlsx]Sheet5!PivotTable6</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2BD-42F7-BC46-46DA18F36A6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52BD-42F7-BC46-46DA18F36A6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52BD-42F7-BC46-46DA18F36A6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52BD-42F7-BC46-46DA18F36A6C}"/>
              </c:ext>
            </c:extLst>
          </c:dPt>
          <c:dLbls>
            <c:dLbl>
              <c:idx val="0"/>
              <c:layout>
                <c:manualLayout>
                  <c:x val="-0.14444444444444443"/>
                  <c:y val="3.24074074074074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2BD-42F7-BC46-46DA18F36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Sheet5!$A$4:$A$5</c:f>
              <c:strCache>
                <c:ptCount val="1"/>
                <c:pt idx="0">
                  <c:v>South</c:v>
                </c:pt>
              </c:strCache>
            </c:strRef>
          </c:cat>
          <c:val>
            <c:numRef>
              <c:f>Sheet5!$B$4:$B$5</c:f>
              <c:numCache>
                <c:formatCode>General</c:formatCode>
                <c:ptCount val="1"/>
                <c:pt idx="0">
                  <c:v>8149763</c:v>
                </c:pt>
              </c:numCache>
            </c:numRef>
          </c:val>
          <c:extLst>
            <c:ext xmlns:c16="http://schemas.microsoft.com/office/drawing/2014/chart" uri="{C3380CC4-5D6E-409C-BE32-E72D297353CC}">
              <c16:uniqueId val="{00000008-52BD-42F7-BC46-46DA18F36A6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30.xlsx]Sheet5!PivotTable1</c:name>
    <c:fmtId val="2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4"/>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Sheet5!$E$17:$E$25</c:f>
              <c:strCache>
                <c:ptCount val="8"/>
                <c:pt idx="0">
                  <c:v>Camera</c:v>
                </c:pt>
                <c:pt idx="1">
                  <c:v>Fridge</c:v>
                </c:pt>
                <c:pt idx="2">
                  <c:v>Headphones</c:v>
                </c:pt>
                <c:pt idx="3">
                  <c:v>Jeans</c:v>
                </c:pt>
                <c:pt idx="4">
                  <c:v>Laptop</c:v>
                </c:pt>
                <c:pt idx="5">
                  <c:v>Microwave</c:v>
                </c:pt>
                <c:pt idx="6">
                  <c:v>Mobile</c:v>
                </c:pt>
                <c:pt idx="7">
                  <c:v>Shirt</c:v>
                </c:pt>
              </c:strCache>
            </c:strRef>
          </c:cat>
          <c:val>
            <c:numRef>
              <c:f>Sheet5!$F$17:$F$25</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00-BF9C-40DF-9A22-9425F36E0BA8}"/>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[DHRUV 30.xlsx]Sheet5!PivotTable8</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2"/>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3"/>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Sheet5!$B$13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Sheet5!$A$14:$A$24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Sheet5!$B$14:$B$24</c:f>
              <c:numCache>
                <c:formatCode>General</c:formatCode>
                <c:ptCount val="10"/>
                <c:pt idx="0">
                  <c:v>869592</c:v>
                </c:pt>
                <c:pt idx="1">
                  <c:v>802709</c:v>
                </c:pt>
                <c:pt idx="2">
                  <c:v>940902</c:v>
                </c:pt>
                <c:pt idx="3">
                  <c:v>338628</c:v>
                </c:pt>
                <c:pt idx="4">
                  <c:v>1220329</c:v>
                </c:pt>
                <c:pt idx="5">
                  <c:v>928358</c:v>
                </c:pt>
                <c:pt idx="6">
                  <c:v>1207740</c:v>
                </c:pt>
                <c:pt idx="7">
                  <c:v>304777</c:v>
                </c:pt>
                <c:pt idx="8">
                  <c:v>1410906</c:v>
                </c:pt>
                <c:pt idx="9">
                  <c:v>125822</c:v>
                </c:pt>
              </c:numCache>
            </c:numRef>
          </c:val>
          <c:smooth val="0"/>
          <c:extLst>
            <c:ext xmlns:c16="http://schemas.microsoft.com/office/drawing/2014/chart" uri="{C3380CC4-5D6E-409C-BE32-E72D297353CC}">
              <c16:uniqueId val="{00000000-CBE7-4F22-A97F-8440532A1AEC}"/>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26670</xdr:colOff>
      <xdr:row>24</xdr:row>
      <xdr:rowOff>29527</xdr:rowOff>
    </xdr:from>
    <xdr:to>
      <xdr:col>15</xdr:col>
      <xdr:colOff>398145</xdr:colOff>
      <xdr:row>38</xdr:row>
      <xdr:rowOff>105727</xdr:rowOff>
    </xdr:to>
    <xdr:graphicFrame macro="">
      <xdr:nvGraphicFramePr>
        <xdr:cNvPr id="2" name="Chart 1">
          <a:extLst>
            <a:ext uri="{FF2B5EF4-FFF2-40B4-BE49-F238E27FC236}">
              <a16:creationId xmlns:a16="http://schemas.microsoft.com/office/drawing/2014/main" id="{67BA059A-79D4-ED37-851F-D7B7723F1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22</xdr:row>
      <xdr:rowOff>156210</xdr:rowOff>
    </xdr:from>
    <xdr:to>
      <xdr:col>15</xdr:col>
      <xdr:colOff>525780</xdr:colOff>
      <xdr:row>37</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708660</xdr:colOff>
      <xdr:row>16</xdr:row>
      <xdr:rowOff>118110</xdr:rowOff>
    </xdr:from>
    <xdr:to>
      <xdr:col>11</xdr:col>
      <xdr:colOff>243840</xdr:colOff>
      <xdr:row>31</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861060</xdr:colOff>
      <xdr:row>10</xdr:row>
      <xdr:rowOff>118110</xdr:rowOff>
    </xdr:from>
    <xdr:to>
      <xdr:col>13</xdr:col>
      <xdr:colOff>38100</xdr:colOff>
      <xdr:row>25</xdr:row>
      <xdr:rowOff>118110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495300</xdr:colOff>
      <xdr:row>2</xdr:row>
      <xdr:rowOff>175260</xdr:rowOff>
    </xdr:from>
    <xdr:to>
      <xdr:col>12</xdr:col>
      <xdr:colOff>495300</xdr:colOff>
      <xdr:row>16</xdr:row>
      <xdr:rowOff>81915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9620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79744</xdr:colOff>
      <xdr:row>0</xdr:row>
      <xdr:rowOff>70884</xdr:rowOff>
    </xdr:from>
    <xdr:to>
      <xdr:col>26</xdr:col>
      <xdr:colOff>478465</xdr:colOff>
      <xdr:row>34</xdr:row>
      <xdr:rowOff>62024</xdr:rowOff>
    </xdr:to>
    <xdr:sp macro="" textlink="">
      <xdr:nvSpPr>
        <xdr:cNvPr id="6" name="Rectangle 5">
          <a:extLst>
            <a:ext uri="{FF2B5EF4-FFF2-40B4-BE49-F238E27FC236}">
              <a16:creationId xmlns:a16="http://schemas.microsoft.com/office/drawing/2014/main" id="{1AA82D28-C6D7-F04F-3E15-65732166F9B7}"/>
            </a:ext>
          </a:extLst>
        </xdr:cNvPr>
        <xdr:cNvSpPr/>
      </xdr:nvSpPr>
      <xdr:spPr>
        <a:xfrm>
          <a:off x="79744" y="70884"/>
          <a:ext cx="16294395" cy="631751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487325</xdr:colOff>
      <xdr:row>17</xdr:row>
      <xdr:rowOff>132908</xdr:rowOff>
    </xdr:from>
    <xdr:to>
      <xdr:col>26</xdr:col>
      <xdr:colOff>442141</xdr:colOff>
      <xdr:row>34</xdr:row>
      <xdr:rowOff>52277</xdr:rowOff>
    </xdr:to>
    <xdr:sp macro="" textlink="">
      <xdr:nvSpPr>
        <xdr:cNvPr id="13" name="Rectangle 12">
          <a:extLst>
            <a:ext uri="{FF2B5EF4-FFF2-40B4-BE49-F238E27FC236}">
              <a16:creationId xmlns:a16="http://schemas.microsoft.com/office/drawing/2014/main" id="{71270AC3-B918-4999-BC80-6B81182F5848}"/>
            </a:ext>
          </a:extLst>
        </xdr:cNvPr>
        <xdr:cNvSpPr/>
      </xdr:nvSpPr>
      <xdr:spPr>
        <a:xfrm>
          <a:off x="10880651" y="3296094"/>
          <a:ext cx="5457164" cy="308255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469606</xdr:colOff>
      <xdr:row>17</xdr:row>
      <xdr:rowOff>26580</xdr:rowOff>
    </xdr:from>
    <xdr:to>
      <xdr:col>26</xdr:col>
      <xdr:colOff>460742</xdr:colOff>
      <xdr:row>34</xdr:row>
      <xdr:rowOff>35441</xdr:rowOff>
    </xdr:to>
    <xdr:graphicFrame macro="">
      <xdr:nvGraphicFramePr>
        <xdr:cNvPr id="7" name="Chart 6">
          <a:extLst>
            <a:ext uri="{FF2B5EF4-FFF2-40B4-BE49-F238E27FC236}">
              <a16:creationId xmlns:a16="http://schemas.microsoft.com/office/drawing/2014/main" id="{67BA059A-79D4-ED37-851F-D7B7723F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478465</xdr:colOff>
      <xdr:row>0</xdr:row>
      <xdr:rowOff>168349</xdr:rowOff>
    </xdr:from>
    <xdr:to>
      <xdr:col>26</xdr:col>
      <xdr:colOff>451885</xdr:colOff>
      <xdr:row>16</xdr:row>
      <xdr:rowOff>177210</xdr:rowOff>
    </xdr:to>
    <xdr:sp macro="" textlink="">
      <xdr:nvSpPr>
        <xdr:cNvPr id="9" name="Rectangle 8">
          <a:extLst>
            <a:ext uri="{FF2B5EF4-FFF2-40B4-BE49-F238E27FC236}">
              <a16:creationId xmlns:a16="http://schemas.microsoft.com/office/drawing/2014/main" id="{71270AC3-B918-4999-BC80-6B81182F5848}"/>
            </a:ext>
          </a:extLst>
        </xdr:cNvPr>
        <xdr:cNvSpPr/>
      </xdr:nvSpPr>
      <xdr:spPr>
        <a:xfrm>
          <a:off x="10871791" y="168349"/>
          <a:ext cx="5475768" cy="298597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469605</xdr:colOff>
      <xdr:row>0</xdr:row>
      <xdr:rowOff>124047</xdr:rowOff>
    </xdr:from>
    <xdr:to>
      <xdr:col>26</xdr:col>
      <xdr:colOff>451884</xdr:colOff>
      <xdr:row>16</xdr:row>
      <xdr:rowOff>150628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97465</xdr:colOff>
      <xdr:row>17</xdr:row>
      <xdr:rowOff>168350</xdr:rowOff>
    </xdr:from>
    <xdr:to>
      <xdr:col>17</xdr:col>
      <xdr:colOff>398721</xdr:colOff>
      <xdr:row>34</xdr:row>
      <xdr:rowOff>44301</xdr:rowOff>
    </xdr:to>
    <xdr:sp macro="" textlink="">
      <xdr:nvSpPr>
        <xdr:cNvPr id="3" name="Rectangle 2"/>
        <xdr:cNvSpPr/>
      </xdr:nvSpPr>
      <xdr:spPr>
        <a:xfrm>
          <a:off x="4377070" y="3331536"/>
          <a:ext cx="6414977" cy="3039137"/>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70884</xdr:colOff>
      <xdr:row>7</xdr:row>
      <xdr:rowOff>141767</xdr:rowOff>
    </xdr:from>
    <xdr:to>
      <xdr:col>17</xdr:col>
      <xdr:colOff>389861</xdr:colOff>
      <xdr:row>15</xdr:row>
      <xdr:rowOff>35438</xdr:rowOff>
    </xdr:to>
    <xdr:sp macro="" textlink="">
      <xdr:nvSpPr>
        <xdr:cNvPr id="5" name="Rectangle 4"/>
        <xdr:cNvSpPr/>
      </xdr:nvSpPr>
      <xdr:spPr>
        <a:xfrm>
          <a:off x="4350489" y="1444255"/>
          <a:ext cx="6432698" cy="1382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416442</xdr:colOff>
      <xdr:row>1</xdr:row>
      <xdr:rowOff>62024</xdr:rowOff>
    </xdr:from>
    <xdr:to>
      <xdr:col>17</xdr:col>
      <xdr:colOff>17721</xdr:colOff>
      <xdr:row>4</xdr:row>
      <xdr:rowOff>124047</xdr:rowOff>
    </xdr:to>
    <xdr:sp macro="" textlink="">
      <xdr:nvSpPr>
        <xdr:cNvPr id="17" name="Rectangle 16"/>
        <xdr:cNvSpPr/>
      </xdr:nvSpPr>
      <xdr:spPr>
        <a:xfrm>
          <a:off x="4696047" y="248094"/>
          <a:ext cx="5715000" cy="620232"/>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416443</xdr:colOff>
      <xdr:row>1</xdr:row>
      <xdr:rowOff>62023</xdr:rowOff>
    </xdr:from>
    <xdr:to>
      <xdr:col>17</xdr:col>
      <xdr:colOff>62024</xdr:colOff>
      <xdr:row>4</xdr:row>
      <xdr:rowOff>132907</xdr:rowOff>
    </xdr:to>
    <xdr:sp macro="" textlink="">
      <xdr:nvSpPr>
        <xdr:cNvPr id="18" name="TextBox 17"/>
        <xdr:cNvSpPr txBox="1"/>
      </xdr:nvSpPr>
      <xdr:spPr>
        <a:xfrm>
          <a:off x="4696048" y="248093"/>
          <a:ext cx="5759302" cy="62909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SALES</a:t>
          </a:r>
          <a:r>
            <a:rPr lang="en-IN" sz="2800" b="1" cap="none" spc="0" baseline="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 DASHBOARD -2026</a:t>
          </a:r>
          <a:endParaRPr lang="en-IN" sz="28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endParaRPr>
        </a:p>
      </xdr:txBody>
    </xdr:sp>
    <xdr:clientData/>
  </xdr:twoCellAnchor>
  <xdr:twoCellAnchor>
    <xdr:from>
      <xdr:col>0</xdr:col>
      <xdr:colOff>115187</xdr:colOff>
      <xdr:row>11</xdr:row>
      <xdr:rowOff>17722</xdr:rowOff>
    </xdr:from>
    <xdr:to>
      <xdr:col>7</xdr:col>
      <xdr:colOff>17721</xdr:colOff>
      <xdr:row>34</xdr:row>
      <xdr:rowOff>26581</xdr:rowOff>
    </xdr:to>
    <xdr:sp macro="" textlink="">
      <xdr:nvSpPr>
        <xdr:cNvPr id="2" name="Rectangle 1"/>
        <xdr:cNvSpPr/>
      </xdr:nvSpPr>
      <xdr:spPr>
        <a:xfrm>
          <a:off x="115187" y="2064489"/>
          <a:ext cx="4182139" cy="428846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124048</xdr:colOff>
      <xdr:row>11</xdr:row>
      <xdr:rowOff>17723</xdr:rowOff>
    </xdr:from>
    <xdr:to>
      <xdr:col>7</xdr:col>
      <xdr:colOff>17722</xdr:colOff>
      <xdr:row>34</xdr:row>
      <xdr:rowOff>17722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79745</xdr:colOff>
      <xdr:row>16</xdr:row>
      <xdr:rowOff>141767</xdr:rowOff>
    </xdr:from>
    <xdr:to>
      <xdr:col>17</xdr:col>
      <xdr:colOff>372140</xdr:colOff>
      <xdr:row>34</xdr:row>
      <xdr:rowOff>26580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168348</xdr:colOff>
      <xdr:row>7</xdr:row>
      <xdr:rowOff>177210</xdr:rowOff>
    </xdr:from>
    <xdr:to>
      <xdr:col>17</xdr:col>
      <xdr:colOff>354418</xdr:colOff>
      <xdr:row>15</xdr:row>
      <xdr:rowOff>26582</xdr:rowOff>
    </xdr:to>
    <xdr:sp macro="" textlink="">
      <xdr:nvSpPr>
        <xdr:cNvPr id="23" name="Rectangle 22"/>
        <xdr:cNvSpPr/>
      </xdr:nvSpPr>
      <xdr:spPr>
        <a:xfrm>
          <a:off x="8727557" y="1479698"/>
          <a:ext cx="2020187" cy="1337931"/>
        </a:xfrm>
        <a:prstGeom prst="rect">
          <a:avLst/>
        </a:prstGeom>
        <a:ln>
          <a:solidFill>
            <a:schemeClr val="tx1">
              <a:lumMod val="95000"/>
              <a:lumOff val="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416440</xdr:colOff>
      <xdr:row>7</xdr:row>
      <xdr:rowOff>186069</xdr:rowOff>
    </xdr:from>
    <xdr:to>
      <xdr:col>13</xdr:col>
      <xdr:colOff>568841</xdr:colOff>
      <xdr:row>15</xdr:row>
      <xdr:rowOff>26579</xdr:rowOff>
    </xdr:to>
    <xdr:sp macro="" textlink="">
      <xdr:nvSpPr>
        <xdr:cNvPr id="24" name="Rectangle 23"/>
        <xdr:cNvSpPr/>
      </xdr:nvSpPr>
      <xdr:spPr>
        <a:xfrm>
          <a:off x="6530161" y="1488557"/>
          <a:ext cx="1986517" cy="1329069"/>
        </a:xfrm>
        <a:prstGeom prst="rect">
          <a:avLst/>
        </a:prstGeom>
        <a:ln>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93920</xdr:colOff>
      <xdr:row>7</xdr:row>
      <xdr:rowOff>168351</xdr:rowOff>
    </xdr:from>
    <xdr:to>
      <xdr:col>10</xdr:col>
      <xdr:colOff>159487</xdr:colOff>
      <xdr:row>14</xdr:row>
      <xdr:rowOff>177210</xdr:rowOff>
    </xdr:to>
    <xdr:sp macro="" textlink="">
      <xdr:nvSpPr>
        <xdr:cNvPr id="25" name="Rectangle 24"/>
        <xdr:cNvSpPr/>
      </xdr:nvSpPr>
      <xdr:spPr>
        <a:xfrm>
          <a:off x="4373525" y="1470839"/>
          <a:ext cx="1899683" cy="1311348"/>
        </a:xfrm>
        <a:prstGeom prst="rect">
          <a:avLst/>
        </a:prstGeom>
        <a:ln>
          <a:solidFill>
            <a:schemeClr val="tx2">
              <a:lumMod val="5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106326</xdr:colOff>
      <xdr:row>8</xdr:row>
      <xdr:rowOff>8860</xdr:rowOff>
    </xdr:from>
    <xdr:to>
      <xdr:col>10</xdr:col>
      <xdr:colOff>150628</xdr:colOff>
      <xdr:row>10</xdr:row>
      <xdr:rowOff>106326</xdr:rowOff>
    </xdr:to>
    <xdr:sp macro="" textlink="">
      <xdr:nvSpPr>
        <xdr:cNvPr id="12" name="TextBox 11"/>
        <xdr:cNvSpPr txBox="1"/>
      </xdr:nvSpPr>
      <xdr:spPr>
        <a:xfrm>
          <a:off x="4385931" y="1497418"/>
          <a:ext cx="1878418" cy="46960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panose="020B0604020202020204" pitchFamily="34" charset="0"/>
              <a:cs typeface="Arial" panose="020B0604020202020204" pitchFamily="34" charset="0"/>
            </a:rPr>
            <a:t>Total</a:t>
          </a:r>
          <a:r>
            <a:rPr lang="en-IN" sz="2400" b="1" baseline="0">
              <a:latin typeface="Arial" panose="020B0604020202020204" pitchFamily="34" charset="0"/>
              <a:cs typeface="Arial" panose="020B0604020202020204" pitchFamily="34" charset="0"/>
            </a:rPr>
            <a:t> Sale</a:t>
          </a:r>
          <a:endParaRPr lang="en-IN" sz="2400" b="1">
            <a:latin typeface="Arial" panose="020B0604020202020204" pitchFamily="34" charset="0"/>
            <a:cs typeface="Arial" panose="020B0604020202020204" pitchFamily="34" charset="0"/>
          </a:endParaRPr>
        </a:p>
      </xdr:txBody>
    </xdr:sp>
    <xdr:clientData/>
  </xdr:twoCellAnchor>
  <xdr:twoCellAnchor>
    <xdr:from>
      <xdr:col>10</xdr:col>
      <xdr:colOff>434164</xdr:colOff>
      <xdr:row>8</xdr:row>
      <xdr:rowOff>17721</xdr:rowOff>
    </xdr:from>
    <xdr:to>
      <xdr:col>13</xdr:col>
      <xdr:colOff>549349</xdr:colOff>
      <xdr:row>10</xdr:row>
      <xdr:rowOff>79743</xdr:rowOff>
    </xdr:to>
    <xdr:sp macro="" textlink="">
      <xdr:nvSpPr>
        <xdr:cNvPr id="28" name="TextBox 27"/>
        <xdr:cNvSpPr txBox="1"/>
      </xdr:nvSpPr>
      <xdr:spPr>
        <a:xfrm>
          <a:off x="6547885" y="1506279"/>
          <a:ext cx="1949301" cy="43416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panose="020B0604020202020204" pitchFamily="34" charset="0"/>
              <a:cs typeface="Arial" panose="020B0604020202020204" pitchFamily="34" charset="0"/>
            </a:rPr>
            <a:t>Total Qty</a:t>
          </a:r>
        </a:p>
      </xdr:txBody>
    </xdr:sp>
    <xdr:clientData/>
  </xdr:twoCellAnchor>
  <xdr:twoCellAnchor>
    <xdr:from>
      <xdr:col>14</xdr:col>
      <xdr:colOff>186070</xdr:colOff>
      <xdr:row>12</xdr:row>
      <xdr:rowOff>97465</xdr:rowOff>
    </xdr:from>
    <xdr:to>
      <xdr:col>17</xdr:col>
      <xdr:colOff>327836</xdr:colOff>
      <xdr:row>14</xdr:row>
      <xdr:rowOff>182525</xdr:rowOff>
    </xdr:to>
    <xdr:sp macro="" textlink="">
      <xdr:nvSpPr>
        <xdr:cNvPr id="30" name="TextBox 29"/>
        <xdr:cNvSpPr txBox="1"/>
      </xdr:nvSpPr>
      <xdr:spPr>
        <a:xfrm>
          <a:off x="8745279" y="2330302"/>
          <a:ext cx="1975883" cy="457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102781</xdr:colOff>
      <xdr:row>12</xdr:row>
      <xdr:rowOff>44302</xdr:rowOff>
    </xdr:from>
    <xdr:to>
      <xdr:col>10</xdr:col>
      <xdr:colOff>141767</xdr:colOff>
      <xdr:row>14</xdr:row>
      <xdr:rowOff>177208</xdr:rowOff>
    </xdr:to>
    <xdr:sp macro="" textlink="">
      <xdr:nvSpPr>
        <xdr:cNvPr id="32" name="TextBox 31"/>
        <xdr:cNvSpPr txBox="1"/>
      </xdr:nvSpPr>
      <xdr:spPr>
        <a:xfrm>
          <a:off x="4382386" y="2277139"/>
          <a:ext cx="1873102" cy="505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124045</xdr:colOff>
      <xdr:row>0</xdr:row>
      <xdr:rowOff>97466</xdr:rowOff>
    </xdr:from>
    <xdr:to>
      <xdr:col>5</xdr:col>
      <xdr:colOff>496186</xdr:colOff>
      <xdr:row>11</xdr:row>
      <xdr:rowOff>1</xdr:rowOff>
    </xdr:to>
    <mc:AlternateContent xmlns:mc="http://schemas.openxmlformats.org/markup-compatibility/2006">
      <mc:Choice xmlns:a14="http://schemas.microsoft.com/office/drawing/2010/main" Requires="a14">
        <xdr:graphicFrame macro="">
          <xdr:nvGraphicFramePr>
            <xdr:cNvPr id="2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4045" y="97466"/>
              <a:ext cx="3429001" cy="194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425303</xdr:colOff>
      <xdr:row>12</xdr:row>
      <xdr:rowOff>79744</xdr:rowOff>
    </xdr:from>
    <xdr:to>
      <xdr:col>13</xdr:col>
      <xdr:colOff>558209</xdr:colOff>
      <xdr:row>15</xdr:row>
      <xdr:rowOff>17721</xdr:rowOff>
    </xdr:to>
    <xdr:sp macro="" textlink="">
      <xdr:nvSpPr>
        <xdr:cNvPr id="34" name="TextBox 33"/>
        <xdr:cNvSpPr txBox="1"/>
      </xdr:nvSpPr>
      <xdr:spPr>
        <a:xfrm>
          <a:off x="6539024" y="2312581"/>
          <a:ext cx="1967022" cy="496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186071</xdr:colOff>
      <xdr:row>8</xdr:row>
      <xdr:rowOff>8859</xdr:rowOff>
    </xdr:from>
    <xdr:to>
      <xdr:col>17</xdr:col>
      <xdr:colOff>318976</xdr:colOff>
      <xdr:row>10</xdr:row>
      <xdr:rowOff>97465</xdr:rowOff>
    </xdr:to>
    <xdr:sp macro="" textlink="">
      <xdr:nvSpPr>
        <xdr:cNvPr id="35" name="TextBox 34"/>
        <xdr:cNvSpPr txBox="1"/>
      </xdr:nvSpPr>
      <xdr:spPr>
        <a:xfrm>
          <a:off x="8745280" y="1497417"/>
          <a:ext cx="1967022" cy="46074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DC45" refreshedDate="46209.511786342591" createdVersion="8" refreshedVersion="8" minRefreshableVersion="3" recordCount="300">
  <cacheSource type="worksheet">
    <worksheetSource ref="A1:J301" sheet="Sheet4"/>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4">
  <location ref="E16:F25" firstHeaderRow="1" firstDataRow="1" firstDataCol="1"/>
  <pivotFields count="12">
    <pivotField showAll="0"/>
    <pivotField showAll="0"/>
    <pivotField showAll="0">
      <items count="5">
        <item h="1" x="3"/>
        <item h="1" x="0"/>
        <item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E4:F9" firstHeaderRow="1" firstDataRow="1" firstDataCol="1"/>
  <pivotFields count="12">
    <pivotField showAll="0"/>
    <pivotField showAll="0"/>
    <pivotField showAll="0">
      <items count="5">
        <item h="1" x="3"/>
        <item h="1" x="0"/>
        <item x="2"/>
        <item h="1"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2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3" count="1" selected="0">
            <x v="0"/>
          </reference>
        </references>
      </pivotArea>
    </chartFormat>
    <chartFormat chart="18" format="12">
      <pivotArea type="data" outline="0" fieldPosition="0">
        <references count="2">
          <reference field="4294967294" count="1" selected="0">
            <x v="0"/>
          </reference>
          <reference field="3" count="1" selected="0">
            <x v="1"/>
          </reference>
        </references>
      </pivotArea>
    </chartFormat>
    <chartFormat chart="18" format="13">
      <pivotArea type="data" outline="0" fieldPosition="0">
        <references count="2">
          <reference field="4294967294" count="1" selected="0">
            <x v="0"/>
          </reference>
          <reference field="3" count="1" selected="0">
            <x v="2"/>
          </reference>
        </references>
      </pivotArea>
    </chartFormat>
    <chartFormat chart="1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3:B5" firstHeaderRow="1" firstDataRow="1" firstDataCol="1"/>
  <pivotFields count="12">
    <pivotField showAll="0"/>
    <pivotField showAll="0"/>
    <pivotField axis="axisRow" showAll="0">
      <items count="5">
        <item h="1" x="3"/>
        <item h="1" x="0"/>
        <item x="2"/>
        <item h="1"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Total Sales" fld="8" baseField="0" baseItem="0"/>
  </dataFields>
  <chartFormats count="22">
    <chartFormat chart="2" format="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2" count="1" selected="0">
            <x v="0"/>
          </reference>
        </references>
      </pivotArea>
    </chartFormat>
    <chartFormat chart="10" format="17">
      <pivotArea type="data" outline="0" fieldPosition="0">
        <references count="2">
          <reference field="4294967294" count="1" selected="0">
            <x v="0"/>
          </reference>
          <reference field="2" count="1" selected="0">
            <x v="1"/>
          </reference>
        </references>
      </pivotArea>
    </chartFormat>
    <chartFormat chart="10" format="18">
      <pivotArea type="data" outline="0" fieldPosition="0">
        <references count="2">
          <reference field="4294967294" count="1" selected="0">
            <x v="0"/>
          </reference>
          <reference field="2" count="1" selected="0">
            <x v="2"/>
          </reference>
        </references>
      </pivotArea>
    </chartFormat>
    <chartFormat chart="10" format="1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A13:B24" firstHeaderRow="1" firstDataRow="1" firstDataCol="1"/>
  <pivotFields count="12">
    <pivotField showAll="0"/>
    <pivotField showAll="0"/>
    <pivotField showAll="0">
      <items count="5">
        <item h="1" x="3"/>
        <item h="1" x="0"/>
        <item x="2"/>
        <item h="1" x="1"/>
        <item t="default"/>
      </items>
    </pivotField>
    <pivotField showAll="0"/>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6"/>
    <pivotTable tabId="6" name="PivotTable1"/>
    <pivotTable tabId="6" name="PivotTable7"/>
    <pivotTable tabId="6" name="PivotTable8"/>
  </pivotTables>
  <data>
    <tabular pivotCacheId="1">
      <items count="4">
        <i x="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98" zoomScaleNormal="98" workbookViewId="0">
      <selection activeCell="G2" sqref="G2"/>
    </sheetView>
  </sheetViews>
  <sheetFormatPr defaultRowHeight="14.4" x14ac:dyDescent="0.3"/>
  <cols>
    <col min="1" max="1" width="15.5546875" customWidth="1"/>
    <col min="2" max="2" width="19.44140625" customWidth="1"/>
    <col min="3" max="3" width="22" customWidth="1"/>
    <col min="4" max="4" width="27.109375" customWidth="1"/>
    <col min="5" max="5" width="26.33203125" customWidth="1"/>
  </cols>
  <sheetData>
    <row r="1" spans="1:5" ht="25.8" x14ac:dyDescent="0.5">
      <c r="A1" s="1" t="s">
        <v>0</v>
      </c>
      <c r="B1" s="1" t="s">
        <v>1</v>
      </c>
      <c r="C1" s="1" t="s">
        <v>24</v>
      </c>
      <c r="D1" s="1" t="s">
        <v>2</v>
      </c>
      <c r="E1" s="1" t="s">
        <v>3</v>
      </c>
    </row>
    <row r="2" spans="1:5" ht="18" x14ac:dyDescent="0.35">
      <c r="A2" s="2" t="s">
        <v>4</v>
      </c>
      <c r="B2" s="2" t="s">
        <v>16</v>
      </c>
      <c r="C2" s="2" t="s">
        <v>20</v>
      </c>
      <c r="D2" s="3">
        <v>10000</v>
      </c>
      <c r="E2" s="4">
        <v>46063</v>
      </c>
    </row>
    <row r="3" spans="1:5" ht="18" x14ac:dyDescent="0.35">
      <c r="A3" s="2" t="s">
        <v>5</v>
      </c>
      <c r="B3" s="2" t="s">
        <v>17</v>
      </c>
      <c r="C3" s="2" t="s">
        <v>21</v>
      </c>
      <c r="D3" s="3">
        <v>30000</v>
      </c>
      <c r="E3" s="4">
        <v>46093</v>
      </c>
    </row>
    <row r="4" spans="1:5" ht="18" x14ac:dyDescent="0.35">
      <c r="A4" s="2" t="s">
        <v>6</v>
      </c>
      <c r="B4" s="2" t="s">
        <v>18</v>
      </c>
      <c r="C4" s="2" t="s">
        <v>22</v>
      </c>
      <c r="D4" s="3">
        <v>25000</v>
      </c>
      <c r="E4" s="4">
        <v>46188</v>
      </c>
    </row>
    <row r="5" spans="1:5" ht="18" x14ac:dyDescent="0.35">
      <c r="A5" s="2" t="s">
        <v>7</v>
      </c>
      <c r="B5" s="2" t="s">
        <v>19</v>
      </c>
      <c r="C5" s="2" t="s">
        <v>23</v>
      </c>
      <c r="D5" s="3">
        <v>40000</v>
      </c>
      <c r="E5" s="4">
        <v>46196</v>
      </c>
    </row>
    <row r="6" spans="1:5" ht="18" x14ac:dyDescent="0.35">
      <c r="A6" s="2" t="s">
        <v>8</v>
      </c>
      <c r="B6" s="2" t="s">
        <v>16</v>
      </c>
      <c r="C6" s="2" t="s">
        <v>20</v>
      </c>
      <c r="D6" s="3">
        <v>47500</v>
      </c>
      <c r="E6" s="4">
        <v>46063</v>
      </c>
    </row>
    <row r="7" spans="1:5" ht="18" x14ac:dyDescent="0.35">
      <c r="A7" s="2" t="s">
        <v>9</v>
      </c>
      <c r="B7" s="2" t="s">
        <v>17</v>
      </c>
      <c r="C7" s="2" t="s">
        <v>21</v>
      </c>
      <c r="D7" s="3">
        <v>56000</v>
      </c>
      <c r="E7" s="4">
        <v>46093</v>
      </c>
    </row>
    <row r="8" spans="1:5" ht="18" x14ac:dyDescent="0.35">
      <c r="A8" s="2" t="s">
        <v>10</v>
      </c>
      <c r="B8" s="2" t="s">
        <v>18</v>
      </c>
      <c r="C8" s="2" t="s">
        <v>22</v>
      </c>
      <c r="D8" s="3">
        <v>64500</v>
      </c>
      <c r="E8" s="4">
        <v>46188</v>
      </c>
    </row>
    <row r="9" spans="1:5" ht="18" x14ac:dyDescent="0.35">
      <c r="A9" s="2" t="s">
        <v>11</v>
      </c>
      <c r="B9" s="2" t="s">
        <v>19</v>
      </c>
      <c r="C9" s="2" t="s">
        <v>23</v>
      </c>
      <c r="D9" s="3">
        <v>73000</v>
      </c>
      <c r="E9" s="4">
        <v>46196</v>
      </c>
    </row>
    <row r="10" spans="1:5" ht="18" x14ac:dyDescent="0.35">
      <c r="A10" s="2" t="s">
        <v>12</v>
      </c>
      <c r="B10" s="2" t="s">
        <v>16</v>
      </c>
      <c r="C10" s="2" t="s">
        <v>20</v>
      </c>
      <c r="D10" s="3">
        <v>81500</v>
      </c>
      <c r="E10" s="4">
        <v>46063</v>
      </c>
    </row>
    <row r="11" spans="1:5" ht="18" x14ac:dyDescent="0.35">
      <c r="A11" s="2" t="s">
        <v>13</v>
      </c>
      <c r="B11" s="2" t="s">
        <v>17</v>
      </c>
      <c r="C11" s="2" t="s">
        <v>21</v>
      </c>
      <c r="D11" s="3">
        <v>90000</v>
      </c>
      <c r="E11" s="4">
        <v>46093</v>
      </c>
    </row>
    <row r="12" spans="1:5" ht="18" x14ac:dyDescent="0.35">
      <c r="A12" s="2" t="s">
        <v>14</v>
      </c>
      <c r="B12" s="2" t="s">
        <v>18</v>
      </c>
      <c r="C12" s="2" t="s">
        <v>22</v>
      </c>
      <c r="D12" s="3">
        <v>98500</v>
      </c>
      <c r="E12" s="4">
        <v>46188</v>
      </c>
    </row>
    <row r="13" spans="1:5" ht="18" x14ac:dyDescent="0.35">
      <c r="A13" s="2" t="s">
        <v>15</v>
      </c>
      <c r="B13" s="2" t="s">
        <v>19</v>
      </c>
      <c r="C13" s="2" t="s">
        <v>23</v>
      </c>
      <c r="D13" s="3">
        <v>107000</v>
      </c>
      <c r="E13" s="4">
        <v>46196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2" sqref="G12"/>
    </sheetView>
  </sheetViews>
  <sheetFormatPr defaultRowHeight="14.4" x14ac:dyDescent="0.3"/>
  <cols>
    <col min="1" max="1" width="25" customWidth="1"/>
    <col min="2" max="2" width="12.88671875" customWidth="1"/>
    <col min="3" max="3" width="18.44140625" customWidth="1"/>
    <col min="4" max="4" width="15.5546875" customWidth="1"/>
    <col min="5" max="5" width="23.109375" customWidth="1"/>
    <col min="6" max="6" width="17.109375" customWidth="1"/>
    <col min="7" max="7" width="14.109375" customWidth="1"/>
  </cols>
  <sheetData>
    <row r="1" spans="1:7" ht="18" x14ac:dyDescent="0.35">
      <c r="A1" s="5" t="s">
        <v>25</v>
      </c>
      <c r="B1" s="5" t="s">
        <v>26</v>
      </c>
      <c r="C1" s="5" t="s">
        <v>27</v>
      </c>
      <c r="D1" s="5" t="s">
        <v>28</v>
      </c>
      <c r="E1" s="5" t="s">
        <v>41</v>
      </c>
    </row>
    <row r="2" spans="1:7" x14ac:dyDescent="0.3">
      <c r="A2" s="6" t="s">
        <v>29</v>
      </c>
      <c r="B2" s="6" t="s">
        <v>33</v>
      </c>
      <c r="C2" s="6">
        <v>4500</v>
      </c>
      <c r="D2" s="6" t="s">
        <v>37</v>
      </c>
      <c r="E2" s="7">
        <v>4500</v>
      </c>
    </row>
    <row r="3" spans="1:7" x14ac:dyDescent="0.3">
      <c r="A3" s="6" t="s">
        <v>30</v>
      </c>
      <c r="B3" s="6" t="s">
        <v>34</v>
      </c>
      <c r="C3" s="6">
        <v>1200</v>
      </c>
      <c r="D3" s="6" t="s">
        <v>38</v>
      </c>
      <c r="E3" s="7">
        <v>1200</v>
      </c>
    </row>
    <row r="4" spans="1:7" x14ac:dyDescent="0.3">
      <c r="A4" s="6" t="s">
        <v>31</v>
      </c>
      <c r="B4" s="6" t="s">
        <v>35</v>
      </c>
      <c r="C4" s="6">
        <v>1800</v>
      </c>
      <c r="D4" s="6" t="s">
        <v>39</v>
      </c>
      <c r="E4" s="7">
        <v>1800</v>
      </c>
    </row>
    <row r="5" spans="1:7" x14ac:dyDescent="0.3">
      <c r="A5" s="6" t="s">
        <v>32</v>
      </c>
      <c r="B5" s="6" t="s">
        <v>36</v>
      </c>
      <c r="C5" s="6">
        <v>62000</v>
      </c>
      <c r="D5" s="6" t="s">
        <v>40</v>
      </c>
      <c r="E5" s="7">
        <v>62000</v>
      </c>
    </row>
    <row r="9" spans="1:7" x14ac:dyDescent="0.3">
      <c r="F9" s="9" t="s">
        <v>42</v>
      </c>
      <c r="G9" t="s">
        <v>43</v>
      </c>
    </row>
    <row r="10" spans="1:7" x14ac:dyDescent="0.3">
      <c r="C10">
        <v>74</v>
      </c>
      <c r="D10">
        <v>34</v>
      </c>
      <c r="E10">
        <v>45</v>
      </c>
      <c r="F10">
        <f>SUM(C10:E10)</f>
        <v>153</v>
      </c>
      <c r="G10" s="8">
        <f>F10/300*100</f>
        <v>51</v>
      </c>
    </row>
    <row r="11" spans="1:7" x14ac:dyDescent="0.3">
      <c r="C11">
        <v>45</v>
      </c>
      <c r="D11">
        <v>78</v>
      </c>
      <c r="E11">
        <v>90</v>
      </c>
      <c r="F11">
        <f>SUM(C11:E11)</f>
        <v>213</v>
      </c>
      <c r="G11" s="10">
        <f>F11/300*100%</f>
        <v>0.71</v>
      </c>
    </row>
    <row r="12" spans="1:7" x14ac:dyDescent="0.3">
      <c r="C12">
        <v>34</v>
      </c>
      <c r="D12">
        <v>44</v>
      </c>
      <c r="E12">
        <v>44</v>
      </c>
      <c r="F12">
        <f>SUM(C12:E12)</f>
        <v>122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B9" sqref="B9"/>
    </sheetView>
  </sheetViews>
  <sheetFormatPr defaultRowHeight="14.4" x14ac:dyDescent="0.3"/>
  <cols>
    <col min="1" max="1" width="18.44140625" customWidth="1"/>
    <col min="2" max="2" width="26.88671875" customWidth="1"/>
    <col min="3" max="3" width="19.44140625" customWidth="1"/>
    <col min="4" max="4" width="17.44140625" customWidth="1"/>
  </cols>
  <sheetData>
    <row r="1" spans="1:4" ht="18" x14ac:dyDescent="0.3">
      <c r="A1" s="12" t="s">
        <v>47</v>
      </c>
      <c r="B1" s="12" t="s">
        <v>44</v>
      </c>
      <c r="C1" s="12" t="s">
        <v>45</v>
      </c>
      <c r="D1" s="12" t="s">
        <v>46</v>
      </c>
    </row>
    <row r="2" spans="1:4" x14ac:dyDescent="0.3">
      <c r="A2" t="s">
        <v>48</v>
      </c>
      <c r="B2">
        <v>45</v>
      </c>
      <c r="C2">
        <v>92</v>
      </c>
    </row>
    <row r="3" spans="1:4" x14ac:dyDescent="0.3">
      <c r="A3" t="s">
        <v>49</v>
      </c>
      <c r="B3">
        <v>38</v>
      </c>
      <c r="C3">
        <v>85</v>
      </c>
    </row>
    <row r="4" spans="1:4" x14ac:dyDescent="0.3">
      <c r="A4" t="s">
        <v>50</v>
      </c>
      <c r="B4">
        <v>50</v>
      </c>
      <c r="C4">
        <v>95</v>
      </c>
    </row>
    <row r="5" spans="1:4" x14ac:dyDescent="0.3">
      <c r="A5" t="s">
        <v>51</v>
      </c>
      <c r="B5">
        <v>30</v>
      </c>
      <c r="C5">
        <v>70</v>
      </c>
    </row>
    <row r="6" spans="1:4" x14ac:dyDescent="0.3">
      <c r="A6" t="s">
        <v>52</v>
      </c>
      <c r="B6">
        <v>42</v>
      </c>
      <c r="C6">
        <v>88</v>
      </c>
    </row>
    <row r="9" spans="1:4" x14ac:dyDescent="0.3">
      <c r="A9" t="s">
        <v>53</v>
      </c>
      <c r="B9"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opLeftCell="A65" workbookViewId="0">
      <selection activeCell="D73" sqref="D73"/>
    </sheetView>
  </sheetViews>
  <sheetFormatPr defaultRowHeight="14.4" x14ac:dyDescent="0.3"/>
  <cols>
    <col min="1" max="1" width="19.6640625" customWidth="1"/>
    <col min="2" max="2" width="20" customWidth="1"/>
    <col min="3" max="3" width="22.33203125" customWidth="1"/>
    <col min="4" max="4" width="17" customWidth="1"/>
  </cols>
  <sheetData>
    <row r="1" spans="1:4" ht="18" x14ac:dyDescent="0.35">
      <c r="A1" s="11" t="s">
        <v>55</v>
      </c>
      <c r="B1" s="11" t="s">
        <v>56</v>
      </c>
      <c r="C1" s="11" t="s">
        <v>57</v>
      </c>
      <c r="D1" s="11" t="s">
        <v>58</v>
      </c>
    </row>
    <row r="2" spans="1:4" x14ac:dyDescent="0.3">
      <c r="A2" s="13">
        <v>1</v>
      </c>
      <c r="B2" t="s">
        <v>16</v>
      </c>
      <c r="C2">
        <v>78</v>
      </c>
      <c r="D2" s="16" t="str">
        <f>IF(C2&gt;=40,"pass","fail")</f>
        <v>pass</v>
      </c>
    </row>
    <row r="3" spans="1:4" x14ac:dyDescent="0.3">
      <c r="A3" s="13">
        <v>2</v>
      </c>
      <c r="B3" t="s">
        <v>17</v>
      </c>
      <c r="C3">
        <v>35</v>
      </c>
      <c r="D3" s="16" t="str">
        <f>IF(C3&gt;=40,"pass","fail")</f>
        <v>fail</v>
      </c>
    </row>
    <row r="4" spans="1:4" x14ac:dyDescent="0.3">
      <c r="A4" s="13">
        <v>3</v>
      </c>
      <c r="B4" t="s">
        <v>18</v>
      </c>
      <c r="C4">
        <v>62</v>
      </c>
      <c r="D4" s="16" t="str">
        <f>IF(C4&gt;=40,"pass","fail")</f>
        <v>pass</v>
      </c>
    </row>
    <row r="5" spans="1:4" x14ac:dyDescent="0.3">
      <c r="A5" s="13">
        <v>4</v>
      </c>
      <c r="B5" t="s">
        <v>59</v>
      </c>
      <c r="C5">
        <v>40</v>
      </c>
      <c r="D5" s="16" t="str">
        <f>IF(C5&gt;=40,"pass","fail")</f>
        <v>pass</v>
      </c>
    </row>
    <row r="6" spans="1:4" x14ac:dyDescent="0.3">
      <c r="A6" s="13">
        <v>5</v>
      </c>
      <c r="B6" t="s">
        <v>60</v>
      </c>
      <c r="C6">
        <v>28</v>
      </c>
      <c r="D6" s="16" t="str">
        <f>IF(C6&gt;=40,"pass","fail")</f>
        <v>fail</v>
      </c>
    </row>
    <row r="7" spans="1:4" x14ac:dyDescent="0.3">
      <c r="A7" t="s">
        <v>65</v>
      </c>
    </row>
    <row r="9" spans="1:4" x14ac:dyDescent="0.3">
      <c r="A9" t="s">
        <v>61</v>
      </c>
      <c r="B9" t="s">
        <v>70</v>
      </c>
    </row>
    <row r="11" spans="1:4" x14ac:dyDescent="0.3">
      <c r="A11" s="14" t="s">
        <v>62</v>
      </c>
      <c r="B11" s="14" t="s">
        <v>2</v>
      </c>
      <c r="C11" s="14" t="s">
        <v>63</v>
      </c>
    </row>
    <row r="12" spans="1:4" x14ac:dyDescent="0.3">
      <c r="A12" t="s">
        <v>16</v>
      </c>
      <c r="B12">
        <v>28000</v>
      </c>
      <c r="C12" s="15" t="str">
        <f>IF(B12&gt;=40000,"BONUS","No BOUNUS")</f>
        <v>No BOUNUS</v>
      </c>
    </row>
    <row r="13" spans="1:4" x14ac:dyDescent="0.3">
      <c r="A13" t="s">
        <v>18</v>
      </c>
      <c r="B13">
        <v>45000</v>
      </c>
      <c r="C13" s="15" t="str">
        <f>IF(B13&gt;=40000,"BONUS","No BOUNUS")</f>
        <v>BONUS</v>
      </c>
    </row>
    <row r="14" spans="1:4" x14ac:dyDescent="0.3">
      <c r="A14" t="s">
        <v>17</v>
      </c>
      <c r="B14">
        <v>52000</v>
      </c>
      <c r="C14" s="15" t="str">
        <f>IF(B14&gt;=40000,"BONUS","No BOUNUS")</f>
        <v>BONUS</v>
      </c>
    </row>
    <row r="15" spans="1:4" x14ac:dyDescent="0.3">
      <c r="A15" t="s">
        <v>64</v>
      </c>
      <c r="B15">
        <v>30000</v>
      </c>
      <c r="C15" s="15" t="str">
        <f>IF(B15&gt;=40000,"BONUS","No BOUNUS")</f>
        <v>No BOUNUS</v>
      </c>
    </row>
    <row r="17" spans="1:4" x14ac:dyDescent="0.3">
      <c r="A17" t="s">
        <v>66</v>
      </c>
      <c r="B17" t="s">
        <v>71</v>
      </c>
    </row>
    <row r="19" spans="1:4" x14ac:dyDescent="0.3">
      <c r="A19" s="14" t="s">
        <v>67</v>
      </c>
      <c r="B19" s="14" t="s">
        <v>68</v>
      </c>
      <c r="C19" s="14" t="s">
        <v>69</v>
      </c>
    </row>
    <row r="20" spans="1:4" x14ac:dyDescent="0.3">
      <c r="A20" t="s">
        <v>16</v>
      </c>
      <c r="B20">
        <v>82</v>
      </c>
      <c r="C20" t="str">
        <f>IF(B20&gt;=75,"A",IF(B20&gt;=60,"B",IF(B20&gt;=40,"c",IF(B20&lt;40,"Fail"))))</f>
        <v>A</v>
      </c>
    </row>
    <row r="21" spans="1:4" x14ac:dyDescent="0.3">
      <c r="A21" t="s">
        <v>17</v>
      </c>
      <c r="B21">
        <v>67</v>
      </c>
      <c r="C21" t="str">
        <f>IF(B21&gt;=75,"A",IF(B21&gt;=60,"B",IF(B21&gt;=40,"c",IF(B21&lt;40,"Fail"))))</f>
        <v>B</v>
      </c>
    </row>
    <row r="22" spans="1:4" x14ac:dyDescent="0.3">
      <c r="A22" t="s">
        <v>18</v>
      </c>
      <c r="B22">
        <v>45</v>
      </c>
      <c r="C22" t="str">
        <f>IF(B22&gt;=75,"A",IF(B22&gt;=60,"B",IF(B22&gt;=40,"c",IF(B22&lt;40,"Fail"))))</f>
        <v>c</v>
      </c>
    </row>
    <row r="23" spans="1:4" x14ac:dyDescent="0.3">
      <c r="A23" t="s">
        <v>72</v>
      </c>
      <c r="B23">
        <v>33</v>
      </c>
      <c r="C23" t="str">
        <f>IF(B23&gt;=75,"A",IF(B23&gt;=60,"B",IF(B23&gt;=40,"c",IF(B23&lt;40,"Fail"))))</f>
        <v>Fail</v>
      </c>
    </row>
    <row r="24" spans="1:4" x14ac:dyDescent="0.3">
      <c r="A24" t="s">
        <v>60</v>
      </c>
      <c r="B24">
        <v>90</v>
      </c>
      <c r="C24" t="str">
        <f>IF(B24&gt;=75,"A",IF(B24&gt;=60,"B",IF(B24&gt;=40,"c",IF(B24&lt;40,"Fail"))))</f>
        <v>A</v>
      </c>
    </row>
    <row r="26" spans="1:4" x14ac:dyDescent="0.3">
      <c r="A26" t="s">
        <v>73</v>
      </c>
      <c r="B26" t="s">
        <v>74</v>
      </c>
    </row>
    <row r="28" spans="1:4" x14ac:dyDescent="0.3">
      <c r="A28" s="17" t="s">
        <v>75</v>
      </c>
      <c r="B28" s="17" t="s">
        <v>76</v>
      </c>
      <c r="C28" s="17" t="s">
        <v>77</v>
      </c>
      <c r="D28" s="17" t="s">
        <v>78</v>
      </c>
    </row>
    <row r="29" spans="1:4" x14ac:dyDescent="0.3">
      <c r="A29" t="s">
        <v>16</v>
      </c>
      <c r="B29">
        <v>25</v>
      </c>
      <c r="C29">
        <v>2</v>
      </c>
      <c r="D29" t="str">
        <f>IF(AND(B29&gt;=21,C29&gt;=1),"Eligible","Not Eligible")</f>
        <v>Eligible</v>
      </c>
    </row>
    <row r="30" spans="1:4" x14ac:dyDescent="0.3">
      <c r="A30" t="s">
        <v>18</v>
      </c>
      <c r="B30">
        <v>20</v>
      </c>
      <c r="C30">
        <v>1</v>
      </c>
      <c r="D30" t="str">
        <f>IF(AND(B30&gt;=21,C30&gt;=1),"Eligible","Not Eligible")</f>
        <v>Not Eligible</v>
      </c>
    </row>
    <row r="31" spans="1:4" x14ac:dyDescent="0.3">
      <c r="A31" t="s">
        <v>17</v>
      </c>
      <c r="B31">
        <v>30</v>
      </c>
      <c r="C31">
        <v>5</v>
      </c>
      <c r="D31" t="str">
        <f>IF(AND(B31&gt;=21,C31&gt;=1),"Eligible","Not Eligible")</f>
        <v>Eligible</v>
      </c>
    </row>
    <row r="32" spans="1:4" x14ac:dyDescent="0.3">
      <c r="A32" t="s">
        <v>79</v>
      </c>
      <c r="B32">
        <v>22</v>
      </c>
      <c r="C32">
        <v>0</v>
      </c>
      <c r="D32" t="str">
        <f>IF(AND(B32&gt;=21,C32&gt;=1),"Eligible","Not Eligible")</f>
        <v>Not Eligible</v>
      </c>
    </row>
    <row r="34" spans="1:4" x14ac:dyDescent="0.3">
      <c r="A34" t="s">
        <v>80</v>
      </c>
      <c r="B34" t="s">
        <v>74</v>
      </c>
    </row>
    <row r="36" spans="1:4" x14ac:dyDescent="0.3">
      <c r="A36" s="18" t="s">
        <v>81</v>
      </c>
      <c r="B36" s="18" t="s">
        <v>82</v>
      </c>
      <c r="C36" s="18" t="s">
        <v>83</v>
      </c>
      <c r="D36" s="18" t="s">
        <v>78</v>
      </c>
    </row>
    <row r="37" spans="1:4" x14ac:dyDescent="0.3">
      <c r="A37" t="s">
        <v>16</v>
      </c>
      <c r="B37">
        <v>85</v>
      </c>
      <c r="C37" t="s">
        <v>84</v>
      </c>
      <c r="D37" t="str">
        <f>IF(AND(B37&gt;=75,C37="yes"),"Eligeble","not eligeble")</f>
        <v>Eligeble</v>
      </c>
    </row>
    <row r="38" spans="1:4" x14ac:dyDescent="0.3">
      <c r="A38" t="s">
        <v>17</v>
      </c>
      <c r="B38">
        <v>72</v>
      </c>
      <c r="C38" t="s">
        <v>85</v>
      </c>
      <c r="D38" t="str">
        <f>IF(AND(B38&gt;=75,C38="yes"),"Eligeble","not eligeble")</f>
        <v>not eligeble</v>
      </c>
    </row>
    <row r="39" spans="1:4" x14ac:dyDescent="0.3">
      <c r="A39" t="s">
        <v>18</v>
      </c>
      <c r="B39">
        <v>90</v>
      </c>
      <c r="C39" t="s">
        <v>86</v>
      </c>
      <c r="D39" t="str">
        <f>IF(AND(B39&gt;=75,C39="yes"),"Eligeble","not eligeble")</f>
        <v>not eligeble</v>
      </c>
    </row>
    <row r="40" spans="1:4" x14ac:dyDescent="0.3">
      <c r="A40" t="s">
        <v>79</v>
      </c>
      <c r="B40">
        <v>80</v>
      </c>
      <c r="C40" t="s">
        <v>85</v>
      </c>
      <c r="D40" t="str">
        <f>IF(AND(B40&gt;=75,C40="yes"),"Eligeble","not eligeble")</f>
        <v>Eligeble</v>
      </c>
    </row>
    <row r="42" spans="1:4" x14ac:dyDescent="0.3">
      <c r="A42" t="s">
        <v>93</v>
      </c>
      <c r="B42" t="s">
        <v>94</v>
      </c>
    </row>
    <row r="43" spans="1:4" x14ac:dyDescent="0.3">
      <c r="A43" s="18" t="s">
        <v>88</v>
      </c>
      <c r="B43" s="18" t="s">
        <v>91</v>
      </c>
      <c r="C43" s="18" t="s">
        <v>89</v>
      </c>
      <c r="D43" s="18" t="s">
        <v>87</v>
      </c>
    </row>
    <row r="44" spans="1:4" x14ac:dyDescent="0.3">
      <c r="A44" t="s">
        <v>16</v>
      </c>
      <c r="B44">
        <v>9000</v>
      </c>
      <c r="C44" t="s">
        <v>86</v>
      </c>
      <c r="D44" t="str">
        <f>IF(OR(B44&gt;=10000,C44="yes"),"apply","NOT APPLY")</f>
        <v>NOT APPLY</v>
      </c>
    </row>
    <row r="45" spans="1:4" x14ac:dyDescent="0.3">
      <c r="A45" t="s">
        <v>17</v>
      </c>
      <c r="B45">
        <v>12000</v>
      </c>
      <c r="C45" t="s">
        <v>86</v>
      </c>
      <c r="D45" t="str">
        <f>IF(OR(B45&gt;=10000,C45="yes"),"apply","NOT APPLY")</f>
        <v>apply</v>
      </c>
    </row>
    <row r="46" spans="1:4" x14ac:dyDescent="0.3">
      <c r="A46" t="s">
        <v>18</v>
      </c>
      <c r="B46">
        <v>4000</v>
      </c>
      <c r="C46" t="s">
        <v>92</v>
      </c>
      <c r="D46" t="str">
        <f>IF(OR(B46&gt;=10000,C46="yes"),"apply","NOT APPLY")</f>
        <v>apply</v>
      </c>
    </row>
    <row r="47" spans="1:4" x14ac:dyDescent="0.3">
      <c r="A47" t="s">
        <v>90</v>
      </c>
      <c r="B47">
        <v>3000</v>
      </c>
      <c r="C47" t="s">
        <v>86</v>
      </c>
      <c r="D47" t="str">
        <f>IF(OR(B47&gt;=10000,C47="yes"),"apply","NOT APPLY")</f>
        <v>NOT APPLY</v>
      </c>
    </row>
    <row r="49" spans="1:4" x14ac:dyDescent="0.3">
      <c r="A49" t="s">
        <v>95</v>
      </c>
      <c r="B49" t="s">
        <v>94</v>
      </c>
    </row>
    <row r="50" spans="1:4" x14ac:dyDescent="0.3">
      <c r="A50" s="19" t="s">
        <v>96</v>
      </c>
      <c r="B50" s="19" t="s">
        <v>97</v>
      </c>
      <c r="C50" s="19" t="s">
        <v>98</v>
      </c>
      <c r="D50" s="19" t="s">
        <v>99</v>
      </c>
    </row>
    <row r="51" spans="1:4" x14ac:dyDescent="0.3">
      <c r="A51" t="s">
        <v>64</v>
      </c>
      <c r="B51">
        <v>35000</v>
      </c>
      <c r="C51">
        <v>720</v>
      </c>
      <c r="D51" t="str">
        <f>IF(OR(B51&gt;=40000,C51&gt;=700),"Loan Approval","Loan NOT approve")</f>
        <v>Loan Approval</v>
      </c>
    </row>
    <row r="52" spans="1:4" x14ac:dyDescent="0.3">
      <c r="A52" t="s">
        <v>100</v>
      </c>
      <c r="B52">
        <v>25000</v>
      </c>
      <c r="C52">
        <v>680</v>
      </c>
      <c r="D52" t="str">
        <f>IF(OR(B52&gt;=40000,C52&gt;=700),"Loan Approval","Loan NOT approve")</f>
        <v>Loan NOT approve</v>
      </c>
    </row>
    <row r="53" spans="1:4" x14ac:dyDescent="0.3">
      <c r="A53" t="s">
        <v>101</v>
      </c>
      <c r="B53">
        <v>50000</v>
      </c>
      <c r="C53">
        <v>650</v>
      </c>
      <c r="D53" t="str">
        <f>IF(OR(B53&gt;=40000,C53&gt;=700),"Loan Approval","Loan NOT approve")</f>
        <v>Loan Approval</v>
      </c>
    </row>
    <row r="54" spans="1:4" x14ac:dyDescent="0.3">
      <c r="A54" t="s">
        <v>16</v>
      </c>
      <c r="B54">
        <v>20000</v>
      </c>
      <c r="C54">
        <v>600</v>
      </c>
      <c r="D54" t="str">
        <f>IF(OR(B54&gt;=40000,C54&gt;=700),"Loan Approval","Loan NOT approve")</f>
        <v>Loan NOT approve</v>
      </c>
    </row>
    <row r="56" spans="1:4" x14ac:dyDescent="0.3">
      <c r="A56" t="s">
        <v>102</v>
      </c>
      <c r="B56" t="s">
        <v>103</v>
      </c>
    </row>
    <row r="57" spans="1:4" x14ac:dyDescent="0.3">
      <c r="A57" s="19" t="s">
        <v>75</v>
      </c>
      <c r="B57" s="19" t="s">
        <v>104</v>
      </c>
      <c r="C57" s="19" t="s">
        <v>105</v>
      </c>
    </row>
    <row r="58" spans="1:4" x14ac:dyDescent="0.3">
      <c r="A58" t="s">
        <v>16</v>
      </c>
      <c r="B58" t="b">
        <v>1</v>
      </c>
      <c r="C58" t="str">
        <f>IF(NOT(B58),"Absent","present")</f>
        <v>present</v>
      </c>
    </row>
    <row r="59" spans="1:4" x14ac:dyDescent="0.3">
      <c r="A59" t="s">
        <v>18</v>
      </c>
      <c r="B59" t="b">
        <v>0</v>
      </c>
      <c r="C59" t="str">
        <f>IF(NOT(B59),"Absent","present")</f>
        <v>Absent</v>
      </c>
    </row>
    <row r="60" spans="1:4" x14ac:dyDescent="0.3">
      <c r="A60" t="s">
        <v>17</v>
      </c>
      <c r="B60" t="b">
        <v>1</v>
      </c>
      <c r="C60" t="str">
        <f>IF(NOT(B60),"Absent","present")</f>
        <v>present</v>
      </c>
    </row>
    <row r="61" spans="1:4" x14ac:dyDescent="0.3">
      <c r="A61" t="s">
        <v>79</v>
      </c>
      <c r="B61" t="b">
        <v>0</v>
      </c>
      <c r="C61" t="str">
        <f>IF(NOT(B61),"Absent","present")</f>
        <v>Absent</v>
      </c>
    </row>
    <row r="63" spans="1:4" x14ac:dyDescent="0.3">
      <c r="A63" t="s">
        <v>106</v>
      </c>
      <c r="B63" t="s">
        <v>107</v>
      </c>
    </row>
    <row r="64" spans="1:4" x14ac:dyDescent="0.3">
      <c r="A64" s="19" t="s">
        <v>108</v>
      </c>
      <c r="B64" s="19" t="s">
        <v>109</v>
      </c>
      <c r="C64" s="19" t="s">
        <v>58</v>
      </c>
    </row>
    <row r="65" spans="1:4" x14ac:dyDescent="0.3">
      <c r="A65">
        <v>10</v>
      </c>
      <c r="B65">
        <v>2</v>
      </c>
      <c r="C65">
        <f>IFERROR(A65/B65,"INVALID")</f>
        <v>5</v>
      </c>
    </row>
    <row r="66" spans="1:4" x14ac:dyDescent="0.3">
      <c r="A66">
        <v>15</v>
      </c>
      <c r="B66">
        <v>0</v>
      </c>
      <c r="C66" t="str">
        <f>IFERROR(A66/B66,"INVALID")</f>
        <v>INVALID</v>
      </c>
    </row>
    <row r="67" spans="1:4" x14ac:dyDescent="0.3">
      <c r="A67">
        <v>20</v>
      </c>
      <c r="B67">
        <v>5</v>
      </c>
      <c r="C67">
        <f>IFERROR(A67/B67,"INVALID")</f>
        <v>4</v>
      </c>
    </row>
    <row r="68" spans="1:4" x14ac:dyDescent="0.3">
      <c r="A68">
        <v>8</v>
      </c>
      <c r="B68">
        <v>0</v>
      </c>
      <c r="C68" t="str">
        <f>IFERROR(A68/B68,"INVALID")</f>
        <v>INVALID</v>
      </c>
    </row>
    <row r="70" spans="1:4" x14ac:dyDescent="0.3">
      <c r="A70" t="s">
        <v>116</v>
      </c>
      <c r="B70" t="s">
        <v>117</v>
      </c>
    </row>
    <row r="71" spans="1:4" ht="15" thickBot="1" x14ac:dyDescent="0.35"/>
    <row r="72" spans="1:4" ht="19.8" thickBot="1" x14ac:dyDescent="0.35">
      <c r="A72" s="22" t="s">
        <v>110</v>
      </c>
      <c r="B72" s="22" t="s">
        <v>111</v>
      </c>
      <c r="C72" s="22" t="s">
        <v>112</v>
      </c>
      <c r="D72" s="22" t="s">
        <v>46</v>
      </c>
    </row>
    <row r="73" spans="1:4" ht="19.8" thickBot="1" x14ac:dyDescent="0.35">
      <c r="A73" s="20" t="s">
        <v>113</v>
      </c>
      <c r="B73" s="20">
        <v>45</v>
      </c>
      <c r="C73" s="20">
        <v>92</v>
      </c>
      <c r="D73" s="20"/>
    </row>
    <row r="74" spans="1:4" ht="19.8" thickBot="1" x14ac:dyDescent="0.35">
      <c r="A74" s="21" t="s">
        <v>114</v>
      </c>
      <c r="B74" s="21">
        <v>38</v>
      </c>
      <c r="C74" s="21">
        <v>85</v>
      </c>
      <c r="D74" s="21"/>
    </row>
    <row r="75" spans="1:4" ht="19.8" thickBot="1" x14ac:dyDescent="0.35">
      <c r="A75" s="20" t="s">
        <v>115</v>
      </c>
      <c r="B75" s="20">
        <v>50</v>
      </c>
      <c r="C75" s="20">
        <v>95</v>
      </c>
      <c r="D75" s="20"/>
    </row>
    <row r="76" spans="1:4" ht="19.8" thickBot="1" x14ac:dyDescent="0.35">
      <c r="A76" s="21" t="s">
        <v>40</v>
      </c>
      <c r="B76" s="21">
        <v>30</v>
      </c>
      <c r="C76" s="21">
        <v>70</v>
      </c>
      <c r="D7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5"/>
  <sheetViews>
    <sheetView tabSelected="1" workbookViewId="0">
      <selection activeCell="A3" sqref="A3:B8"/>
    </sheetView>
  </sheetViews>
  <sheetFormatPr defaultRowHeight="14.4" x14ac:dyDescent="0.3"/>
  <cols>
    <col min="1" max="1" width="12.5546875" customWidth="1"/>
    <col min="2" max="2" width="16.44140625" customWidth="1"/>
    <col min="5" max="5" width="15.109375" customWidth="1"/>
    <col min="6" max="6" width="16.44140625" customWidth="1"/>
  </cols>
  <sheetData>
    <row r="3" spans="1:6" x14ac:dyDescent="0.3">
      <c r="A3" s="24" t="s">
        <v>147</v>
      </c>
      <c r="B3" t="s">
        <v>149</v>
      </c>
    </row>
    <row r="4" spans="1:6" x14ac:dyDescent="0.3">
      <c r="A4" s="25" t="s">
        <v>36</v>
      </c>
      <c r="B4" s="26">
        <v>8149763</v>
      </c>
      <c r="E4" s="24" t="s">
        <v>147</v>
      </c>
      <c r="F4" t="s">
        <v>149</v>
      </c>
    </row>
    <row r="5" spans="1:6" x14ac:dyDescent="0.3">
      <c r="A5" s="25" t="s">
        <v>148</v>
      </c>
      <c r="B5" s="26">
        <v>8149763</v>
      </c>
      <c r="E5" s="25" t="s">
        <v>128</v>
      </c>
      <c r="F5" s="26">
        <v>2600826</v>
      </c>
    </row>
    <row r="6" spans="1:6" x14ac:dyDescent="0.3">
      <c r="E6" s="25" t="s">
        <v>130</v>
      </c>
      <c r="F6" s="26">
        <v>658400</v>
      </c>
    </row>
    <row r="7" spans="1:6" x14ac:dyDescent="0.3">
      <c r="E7" s="25" t="s">
        <v>136</v>
      </c>
      <c r="F7" s="26">
        <v>2479798</v>
      </c>
    </row>
    <row r="8" spans="1:6" x14ac:dyDescent="0.3">
      <c r="E8" s="25" t="s">
        <v>133</v>
      </c>
      <c r="F8" s="26">
        <v>2410739</v>
      </c>
    </row>
    <row r="9" spans="1:6" x14ac:dyDescent="0.3">
      <c r="E9" s="25" t="s">
        <v>148</v>
      </c>
      <c r="F9" s="26">
        <v>8149763</v>
      </c>
    </row>
    <row r="13" spans="1:6" x14ac:dyDescent="0.3">
      <c r="A13" s="24" t="s">
        <v>147</v>
      </c>
      <c r="B13" t="s">
        <v>149</v>
      </c>
    </row>
    <row r="14" spans="1:6" x14ac:dyDescent="0.3">
      <c r="A14" s="25" t="s">
        <v>150</v>
      </c>
      <c r="B14" s="26">
        <v>869592</v>
      </c>
    </row>
    <row r="15" spans="1:6" x14ac:dyDescent="0.3">
      <c r="A15" s="25" t="s">
        <v>151</v>
      </c>
      <c r="B15" s="26">
        <v>802709</v>
      </c>
    </row>
    <row r="16" spans="1:6" x14ac:dyDescent="0.3">
      <c r="A16" s="25" t="s">
        <v>152</v>
      </c>
      <c r="B16" s="26">
        <v>940902</v>
      </c>
      <c r="E16" s="24" t="s">
        <v>147</v>
      </c>
      <c r="F16" t="s">
        <v>149</v>
      </c>
    </row>
    <row r="17" spans="1:6" x14ac:dyDescent="0.3">
      <c r="A17" s="25" t="s">
        <v>153</v>
      </c>
      <c r="B17" s="26">
        <v>338628</v>
      </c>
      <c r="E17" s="25" t="s">
        <v>137</v>
      </c>
      <c r="F17" s="26">
        <v>521854</v>
      </c>
    </row>
    <row r="18" spans="1:6" x14ac:dyDescent="0.3">
      <c r="A18" s="25" t="s">
        <v>154</v>
      </c>
      <c r="B18" s="26">
        <v>1220329</v>
      </c>
      <c r="E18" s="25" t="s">
        <v>134</v>
      </c>
      <c r="F18" s="26">
        <v>1311833</v>
      </c>
    </row>
    <row r="19" spans="1:6" x14ac:dyDescent="0.3">
      <c r="A19" s="25" t="s">
        <v>155</v>
      </c>
      <c r="B19" s="26">
        <v>928358</v>
      </c>
      <c r="E19" s="25" t="s">
        <v>141</v>
      </c>
      <c r="F19" s="26">
        <v>713773</v>
      </c>
    </row>
    <row r="20" spans="1:6" x14ac:dyDescent="0.3">
      <c r="A20" s="25" t="s">
        <v>156</v>
      </c>
      <c r="B20" s="26">
        <v>1207740</v>
      </c>
      <c r="E20" s="25" t="s">
        <v>145</v>
      </c>
      <c r="F20" s="26">
        <v>1212060</v>
      </c>
    </row>
    <row r="21" spans="1:6" x14ac:dyDescent="0.3">
      <c r="A21" s="25" t="s">
        <v>157</v>
      </c>
      <c r="B21" s="26">
        <v>304777</v>
      </c>
      <c r="E21" s="25" t="s">
        <v>143</v>
      </c>
      <c r="F21" s="26">
        <v>1068363</v>
      </c>
    </row>
    <row r="22" spans="1:6" x14ac:dyDescent="0.3">
      <c r="A22" s="25" t="s">
        <v>158</v>
      </c>
      <c r="B22" s="26">
        <v>1410906</v>
      </c>
      <c r="E22" s="25" t="s">
        <v>140</v>
      </c>
      <c r="F22" s="26">
        <v>922921</v>
      </c>
    </row>
    <row r="23" spans="1:6" x14ac:dyDescent="0.3">
      <c r="A23" s="25" t="s">
        <v>159</v>
      </c>
      <c r="B23" s="26">
        <v>125822</v>
      </c>
      <c r="E23" s="25" t="s">
        <v>129</v>
      </c>
      <c r="F23" s="26">
        <v>1198928</v>
      </c>
    </row>
    <row r="24" spans="1:6" x14ac:dyDescent="0.3">
      <c r="A24" s="25" t="s">
        <v>148</v>
      </c>
      <c r="B24" s="26">
        <v>8149763</v>
      </c>
      <c r="E24" s="25" t="s">
        <v>131</v>
      </c>
      <c r="F24" s="26">
        <v>1200031</v>
      </c>
    </row>
    <row r="25" spans="1:6" x14ac:dyDescent="0.3">
      <c r="E25" s="25" t="s">
        <v>148</v>
      </c>
      <c r="F25" s="26">
        <v>8149763</v>
      </c>
    </row>
  </sheetData>
  <pageMargins left="0.7" right="0.7" top="0.75" bottom="0.75" header="0.3" footer="0.3"/>
  <pageSetup orientation="portrait" horizontalDpi="1200" verticalDpi="1200"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workbookViewId="0">
      <selection activeCell="E1" sqref="E1:E1048576"/>
    </sheetView>
  </sheetViews>
  <sheetFormatPr defaultColWidth="12" defaultRowHeight="14.4" x14ac:dyDescent="0.3"/>
  <sheetData>
    <row r="1" spans="1:10" x14ac:dyDescent="0.3">
      <c r="A1" t="s">
        <v>118</v>
      </c>
      <c r="B1" t="s">
        <v>119</v>
      </c>
      <c r="C1" t="s">
        <v>26</v>
      </c>
      <c r="D1" t="s">
        <v>120</v>
      </c>
      <c r="E1" t="s">
        <v>121</v>
      </c>
      <c r="F1" t="s">
        <v>122</v>
      </c>
      <c r="G1" t="s">
        <v>123</v>
      </c>
      <c r="H1" t="s">
        <v>124</v>
      </c>
      <c r="I1" t="s">
        <v>125</v>
      </c>
      <c r="J1" t="s">
        <v>126</v>
      </c>
    </row>
    <row r="2" spans="1:10" x14ac:dyDescent="0.3">
      <c r="A2">
        <v>101</v>
      </c>
      <c r="B2" t="s">
        <v>127</v>
      </c>
      <c r="C2" t="s">
        <v>33</v>
      </c>
      <c r="D2" t="s">
        <v>128</v>
      </c>
      <c r="E2" t="s">
        <v>129</v>
      </c>
      <c r="F2">
        <v>1</v>
      </c>
      <c r="G2">
        <v>13875</v>
      </c>
      <c r="H2" s="23">
        <v>44927</v>
      </c>
      <c r="I2">
        <v>13875</v>
      </c>
      <c r="J2">
        <v>2775</v>
      </c>
    </row>
    <row r="3" spans="1:10" x14ac:dyDescent="0.3">
      <c r="A3">
        <v>102</v>
      </c>
      <c r="B3" t="s">
        <v>38</v>
      </c>
      <c r="C3" t="s">
        <v>34</v>
      </c>
      <c r="D3" t="s">
        <v>130</v>
      </c>
      <c r="E3" t="s">
        <v>131</v>
      </c>
      <c r="F3">
        <v>6</v>
      </c>
      <c r="G3">
        <v>2622</v>
      </c>
      <c r="H3" s="23">
        <v>44928</v>
      </c>
      <c r="I3">
        <v>15732</v>
      </c>
      <c r="J3">
        <v>524.4</v>
      </c>
    </row>
    <row r="4" spans="1:10" x14ac:dyDescent="0.3">
      <c r="A4">
        <v>103</v>
      </c>
      <c r="B4" t="s">
        <v>132</v>
      </c>
      <c r="C4" t="s">
        <v>33</v>
      </c>
      <c r="D4" t="s">
        <v>133</v>
      </c>
      <c r="E4" t="s">
        <v>134</v>
      </c>
      <c r="F4">
        <v>5</v>
      </c>
      <c r="G4">
        <v>49756</v>
      </c>
      <c r="H4" s="23">
        <v>44929</v>
      </c>
      <c r="I4">
        <v>248780</v>
      </c>
      <c r="J4">
        <v>9951.2000000000007</v>
      </c>
    </row>
    <row r="5" spans="1:10" x14ac:dyDescent="0.3">
      <c r="A5">
        <v>104</v>
      </c>
      <c r="B5" t="s">
        <v>135</v>
      </c>
      <c r="C5" t="s">
        <v>33</v>
      </c>
      <c r="D5" t="s">
        <v>136</v>
      </c>
      <c r="E5" t="s">
        <v>137</v>
      </c>
      <c r="F5">
        <v>4</v>
      </c>
      <c r="G5">
        <v>41809</v>
      </c>
      <c r="H5" s="23">
        <v>44930</v>
      </c>
      <c r="I5">
        <v>167236</v>
      </c>
      <c r="J5">
        <v>8361.7999999999993</v>
      </c>
    </row>
    <row r="6" spans="1:10" x14ac:dyDescent="0.3">
      <c r="A6">
        <v>105</v>
      </c>
      <c r="B6" t="s">
        <v>127</v>
      </c>
      <c r="C6" t="s">
        <v>36</v>
      </c>
      <c r="D6" t="s">
        <v>133</v>
      </c>
      <c r="E6" t="s">
        <v>134</v>
      </c>
      <c r="F6">
        <v>3</v>
      </c>
      <c r="G6">
        <v>17725</v>
      </c>
      <c r="H6" s="23">
        <v>44931</v>
      </c>
      <c r="I6">
        <v>53175</v>
      </c>
      <c r="J6">
        <v>3545</v>
      </c>
    </row>
    <row r="7" spans="1:10" x14ac:dyDescent="0.3">
      <c r="A7">
        <v>106</v>
      </c>
      <c r="B7" t="s">
        <v>138</v>
      </c>
      <c r="C7" t="s">
        <v>33</v>
      </c>
      <c r="D7" t="s">
        <v>136</v>
      </c>
      <c r="E7" t="s">
        <v>129</v>
      </c>
      <c r="F7">
        <v>1</v>
      </c>
      <c r="G7">
        <v>41760</v>
      </c>
      <c r="H7" s="23">
        <v>44932</v>
      </c>
      <c r="I7">
        <v>41760</v>
      </c>
      <c r="J7">
        <v>8352</v>
      </c>
    </row>
    <row r="8" spans="1:10" x14ac:dyDescent="0.3">
      <c r="A8">
        <v>107</v>
      </c>
      <c r="B8" t="s">
        <v>139</v>
      </c>
      <c r="C8" t="s">
        <v>35</v>
      </c>
      <c r="D8" t="s">
        <v>128</v>
      </c>
      <c r="E8" t="s">
        <v>129</v>
      </c>
      <c r="F8">
        <v>6</v>
      </c>
      <c r="G8">
        <v>16646</v>
      </c>
      <c r="H8" s="23">
        <v>44933</v>
      </c>
      <c r="I8">
        <v>99876</v>
      </c>
      <c r="J8">
        <v>3329.2</v>
      </c>
    </row>
    <row r="9" spans="1:10" x14ac:dyDescent="0.3">
      <c r="A9">
        <v>108</v>
      </c>
      <c r="B9" t="s">
        <v>127</v>
      </c>
      <c r="C9" t="s">
        <v>35</v>
      </c>
      <c r="D9" t="s">
        <v>136</v>
      </c>
      <c r="E9" t="s">
        <v>129</v>
      </c>
      <c r="F9">
        <v>2</v>
      </c>
      <c r="G9">
        <v>18029</v>
      </c>
      <c r="H9" s="23">
        <v>44934</v>
      </c>
      <c r="I9">
        <v>36058</v>
      </c>
      <c r="J9">
        <v>3605.8</v>
      </c>
    </row>
    <row r="10" spans="1:10" x14ac:dyDescent="0.3">
      <c r="A10">
        <v>109</v>
      </c>
      <c r="B10" t="s">
        <v>132</v>
      </c>
      <c r="C10" t="s">
        <v>34</v>
      </c>
      <c r="D10" t="s">
        <v>128</v>
      </c>
      <c r="E10" t="s">
        <v>140</v>
      </c>
      <c r="F10">
        <v>8</v>
      </c>
      <c r="G10">
        <v>30402</v>
      </c>
      <c r="H10" s="23">
        <v>44935</v>
      </c>
      <c r="I10">
        <v>243216</v>
      </c>
      <c r="J10">
        <v>6080.4</v>
      </c>
    </row>
    <row r="11" spans="1:10" x14ac:dyDescent="0.3">
      <c r="A11">
        <v>110</v>
      </c>
      <c r="B11" t="s">
        <v>135</v>
      </c>
      <c r="C11" t="s">
        <v>33</v>
      </c>
      <c r="D11" t="s">
        <v>136</v>
      </c>
      <c r="E11" t="s">
        <v>140</v>
      </c>
      <c r="F11">
        <v>5</v>
      </c>
      <c r="G11">
        <v>5263</v>
      </c>
      <c r="H11" s="23">
        <v>44936</v>
      </c>
      <c r="I11">
        <v>26315</v>
      </c>
      <c r="J11">
        <v>1052.5999999999999</v>
      </c>
    </row>
    <row r="12" spans="1:10" x14ac:dyDescent="0.3">
      <c r="A12">
        <v>111</v>
      </c>
      <c r="B12" t="s">
        <v>38</v>
      </c>
      <c r="C12" t="s">
        <v>34</v>
      </c>
      <c r="D12" t="s">
        <v>128</v>
      </c>
      <c r="E12" t="s">
        <v>141</v>
      </c>
      <c r="F12">
        <v>7</v>
      </c>
      <c r="G12">
        <v>31987</v>
      </c>
      <c r="H12" s="23">
        <v>44937</v>
      </c>
      <c r="I12">
        <v>223909</v>
      </c>
      <c r="J12">
        <v>6397.4</v>
      </c>
    </row>
    <row r="13" spans="1:10" x14ac:dyDescent="0.3">
      <c r="A13">
        <v>112</v>
      </c>
      <c r="B13" t="s">
        <v>132</v>
      </c>
      <c r="C13" t="s">
        <v>35</v>
      </c>
      <c r="D13" t="s">
        <v>136</v>
      </c>
      <c r="E13" t="s">
        <v>141</v>
      </c>
      <c r="F13">
        <v>2</v>
      </c>
      <c r="G13">
        <v>47828</v>
      </c>
      <c r="H13" s="23">
        <v>44938</v>
      </c>
      <c r="I13">
        <v>95656</v>
      </c>
      <c r="J13">
        <v>9565.6</v>
      </c>
    </row>
    <row r="14" spans="1:10" x14ac:dyDescent="0.3">
      <c r="A14">
        <v>113</v>
      </c>
      <c r="B14" t="s">
        <v>132</v>
      </c>
      <c r="C14" t="s">
        <v>33</v>
      </c>
      <c r="D14" t="s">
        <v>130</v>
      </c>
      <c r="E14" t="s">
        <v>129</v>
      </c>
      <c r="F14">
        <v>8</v>
      </c>
      <c r="G14">
        <v>48924</v>
      </c>
      <c r="H14" s="23">
        <v>44939</v>
      </c>
      <c r="I14">
        <v>391392</v>
      </c>
      <c r="J14">
        <v>9784.7999999999993</v>
      </c>
    </row>
    <row r="15" spans="1:10" x14ac:dyDescent="0.3">
      <c r="A15">
        <v>114</v>
      </c>
      <c r="B15" t="s">
        <v>139</v>
      </c>
      <c r="C15" t="s">
        <v>33</v>
      </c>
      <c r="D15" t="s">
        <v>136</v>
      </c>
      <c r="E15" t="s">
        <v>131</v>
      </c>
      <c r="F15">
        <v>2</v>
      </c>
      <c r="G15">
        <v>9646</v>
      </c>
      <c r="H15" s="23">
        <v>44940</v>
      </c>
      <c r="I15">
        <v>19292</v>
      </c>
      <c r="J15">
        <v>1929.2</v>
      </c>
    </row>
    <row r="16" spans="1:10" x14ac:dyDescent="0.3">
      <c r="A16">
        <v>115</v>
      </c>
      <c r="B16" t="s">
        <v>142</v>
      </c>
      <c r="C16" t="s">
        <v>34</v>
      </c>
      <c r="D16" t="s">
        <v>136</v>
      </c>
      <c r="E16" t="s">
        <v>143</v>
      </c>
      <c r="F16">
        <v>4</v>
      </c>
      <c r="G16">
        <v>28529</v>
      </c>
      <c r="H16" s="23">
        <v>44941</v>
      </c>
      <c r="I16">
        <v>114116</v>
      </c>
      <c r="J16">
        <v>5705.8</v>
      </c>
    </row>
    <row r="17" spans="1:10" x14ac:dyDescent="0.3">
      <c r="A17">
        <v>116</v>
      </c>
      <c r="B17" t="s">
        <v>135</v>
      </c>
      <c r="C17" t="s">
        <v>35</v>
      </c>
      <c r="D17" t="s">
        <v>130</v>
      </c>
      <c r="E17" t="s">
        <v>140</v>
      </c>
      <c r="F17">
        <v>1</v>
      </c>
      <c r="G17">
        <v>12664</v>
      </c>
      <c r="H17" s="23">
        <v>44942</v>
      </c>
      <c r="I17">
        <v>12664</v>
      </c>
      <c r="J17">
        <v>2532.8000000000002</v>
      </c>
    </row>
    <row r="18" spans="1:10" x14ac:dyDescent="0.3">
      <c r="A18">
        <v>117</v>
      </c>
      <c r="B18" t="s">
        <v>144</v>
      </c>
      <c r="C18" t="s">
        <v>33</v>
      </c>
      <c r="D18" t="s">
        <v>133</v>
      </c>
      <c r="E18" t="s">
        <v>131</v>
      </c>
      <c r="F18">
        <v>5</v>
      </c>
      <c r="G18">
        <v>36737</v>
      </c>
      <c r="H18" s="23">
        <v>44943</v>
      </c>
      <c r="I18">
        <v>183685</v>
      </c>
      <c r="J18">
        <v>7347.4</v>
      </c>
    </row>
    <row r="19" spans="1:10" x14ac:dyDescent="0.3">
      <c r="A19">
        <v>118</v>
      </c>
      <c r="B19" t="s">
        <v>132</v>
      </c>
      <c r="C19" t="s">
        <v>34</v>
      </c>
      <c r="D19" t="s">
        <v>133</v>
      </c>
      <c r="E19" t="s">
        <v>145</v>
      </c>
      <c r="F19">
        <v>9</v>
      </c>
      <c r="G19">
        <v>36796</v>
      </c>
      <c r="H19" s="23">
        <v>44944</v>
      </c>
      <c r="I19">
        <v>331164</v>
      </c>
      <c r="J19">
        <v>7359.2</v>
      </c>
    </row>
    <row r="20" spans="1:10" x14ac:dyDescent="0.3">
      <c r="A20">
        <v>119</v>
      </c>
      <c r="B20" t="s">
        <v>142</v>
      </c>
      <c r="C20" t="s">
        <v>35</v>
      </c>
      <c r="D20" t="s">
        <v>136</v>
      </c>
      <c r="E20" t="s">
        <v>140</v>
      </c>
      <c r="F20">
        <v>1</v>
      </c>
      <c r="G20">
        <v>25027</v>
      </c>
      <c r="H20" s="23">
        <v>44945</v>
      </c>
      <c r="I20">
        <v>25027</v>
      </c>
      <c r="J20">
        <v>5005.3999999999996</v>
      </c>
    </row>
    <row r="21" spans="1:10" x14ac:dyDescent="0.3">
      <c r="A21">
        <v>120</v>
      </c>
      <c r="B21" t="s">
        <v>144</v>
      </c>
      <c r="C21" t="s">
        <v>34</v>
      </c>
      <c r="D21" t="s">
        <v>130</v>
      </c>
      <c r="E21" t="s">
        <v>140</v>
      </c>
      <c r="F21">
        <v>9</v>
      </c>
      <c r="G21">
        <v>30373</v>
      </c>
      <c r="H21" s="23">
        <v>44946</v>
      </c>
      <c r="I21">
        <v>273357</v>
      </c>
      <c r="J21">
        <v>6074.6</v>
      </c>
    </row>
    <row r="22" spans="1:10" x14ac:dyDescent="0.3">
      <c r="A22">
        <v>121</v>
      </c>
      <c r="B22" t="s">
        <v>135</v>
      </c>
      <c r="C22" t="s">
        <v>36</v>
      </c>
      <c r="D22" t="s">
        <v>136</v>
      </c>
      <c r="E22" t="s">
        <v>141</v>
      </c>
      <c r="F22">
        <v>8</v>
      </c>
      <c r="G22">
        <v>37397</v>
      </c>
      <c r="H22" s="23">
        <v>44947</v>
      </c>
      <c r="I22">
        <v>299176</v>
      </c>
      <c r="J22">
        <v>7479.4</v>
      </c>
    </row>
    <row r="23" spans="1:10" x14ac:dyDescent="0.3">
      <c r="A23">
        <v>122</v>
      </c>
      <c r="B23" t="s">
        <v>19</v>
      </c>
      <c r="C23" t="s">
        <v>33</v>
      </c>
      <c r="D23" t="s">
        <v>128</v>
      </c>
      <c r="E23" t="s">
        <v>143</v>
      </c>
      <c r="F23">
        <v>6</v>
      </c>
      <c r="G23">
        <v>21609</v>
      </c>
      <c r="H23" s="23">
        <v>44948</v>
      </c>
      <c r="I23">
        <v>129654</v>
      </c>
      <c r="J23">
        <v>4321.8</v>
      </c>
    </row>
    <row r="24" spans="1:10" x14ac:dyDescent="0.3">
      <c r="A24">
        <v>123</v>
      </c>
      <c r="B24" t="s">
        <v>138</v>
      </c>
      <c r="C24" t="s">
        <v>36</v>
      </c>
      <c r="D24" t="s">
        <v>128</v>
      </c>
      <c r="E24" t="s">
        <v>143</v>
      </c>
      <c r="F24">
        <v>7</v>
      </c>
      <c r="G24">
        <v>36835</v>
      </c>
      <c r="H24" s="23">
        <v>44949</v>
      </c>
      <c r="I24">
        <v>257845</v>
      </c>
      <c r="J24">
        <v>7367</v>
      </c>
    </row>
    <row r="25" spans="1:10" x14ac:dyDescent="0.3">
      <c r="A25">
        <v>124</v>
      </c>
      <c r="B25" t="s">
        <v>142</v>
      </c>
      <c r="C25" t="s">
        <v>35</v>
      </c>
      <c r="D25" t="s">
        <v>136</v>
      </c>
      <c r="E25" t="s">
        <v>137</v>
      </c>
      <c r="F25">
        <v>3</v>
      </c>
      <c r="G25">
        <v>39709</v>
      </c>
      <c r="H25" s="23">
        <v>44950</v>
      </c>
      <c r="I25">
        <v>119127</v>
      </c>
      <c r="J25">
        <v>7941.8</v>
      </c>
    </row>
    <row r="26" spans="1:10" x14ac:dyDescent="0.3">
      <c r="A26">
        <v>125</v>
      </c>
      <c r="B26" t="s">
        <v>146</v>
      </c>
      <c r="C26" t="s">
        <v>36</v>
      </c>
      <c r="D26" t="s">
        <v>133</v>
      </c>
      <c r="E26" t="s">
        <v>134</v>
      </c>
      <c r="F26">
        <v>1</v>
      </c>
      <c r="G26">
        <v>20250</v>
      </c>
      <c r="H26" s="23">
        <v>44951</v>
      </c>
      <c r="I26">
        <v>20250</v>
      </c>
      <c r="J26">
        <v>4050</v>
      </c>
    </row>
    <row r="27" spans="1:10" x14ac:dyDescent="0.3">
      <c r="A27">
        <v>126</v>
      </c>
      <c r="B27" t="s">
        <v>19</v>
      </c>
      <c r="C27" t="s">
        <v>36</v>
      </c>
      <c r="D27" t="s">
        <v>133</v>
      </c>
      <c r="E27" t="s">
        <v>134</v>
      </c>
      <c r="F27">
        <v>5</v>
      </c>
      <c r="G27">
        <v>22172</v>
      </c>
      <c r="H27" s="23">
        <v>44952</v>
      </c>
      <c r="I27">
        <v>110860</v>
      </c>
      <c r="J27">
        <v>4434.3999999999996</v>
      </c>
    </row>
    <row r="28" spans="1:10" x14ac:dyDescent="0.3">
      <c r="A28">
        <v>127</v>
      </c>
      <c r="B28" t="s">
        <v>138</v>
      </c>
      <c r="C28" t="s">
        <v>35</v>
      </c>
      <c r="D28" t="s">
        <v>136</v>
      </c>
      <c r="E28" t="s">
        <v>134</v>
      </c>
      <c r="F28">
        <v>2</v>
      </c>
      <c r="G28">
        <v>12555</v>
      </c>
      <c r="H28" s="23">
        <v>44953</v>
      </c>
      <c r="I28">
        <v>25110</v>
      </c>
      <c r="J28">
        <v>2511</v>
      </c>
    </row>
    <row r="29" spans="1:10" x14ac:dyDescent="0.3">
      <c r="A29">
        <v>128</v>
      </c>
      <c r="B29" t="s">
        <v>139</v>
      </c>
      <c r="C29" t="s">
        <v>34</v>
      </c>
      <c r="D29" t="s">
        <v>136</v>
      </c>
      <c r="E29" t="s">
        <v>134</v>
      </c>
      <c r="F29">
        <v>5</v>
      </c>
      <c r="G29">
        <v>22874</v>
      </c>
      <c r="H29" s="23">
        <v>44954</v>
      </c>
      <c r="I29">
        <v>114370</v>
      </c>
      <c r="J29">
        <v>4574.8</v>
      </c>
    </row>
    <row r="30" spans="1:10" x14ac:dyDescent="0.3">
      <c r="A30">
        <v>129</v>
      </c>
      <c r="B30" t="s">
        <v>127</v>
      </c>
      <c r="C30" t="s">
        <v>36</v>
      </c>
      <c r="D30" t="s">
        <v>128</v>
      </c>
      <c r="E30" t="s">
        <v>145</v>
      </c>
      <c r="F30">
        <v>8</v>
      </c>
      <c r="G30">
        <v>14081</v>
      </c>
      <c r="H30" s="23">
        <v>44955</v>
      </c>
      <c r="I30">
        <v>112648</v>
      </c>
      <c r="J30">
        <v>2816.2</v>
      </c>
    </row>
    <row r="31" spans="1:10" x14ac:dyDescent="0.3">
      <c r="A31">
        <v>130</v>
      </c>
      <c r="B31" t="s">
        <v>38</v>
      </c>
      <c r="C31" t="s">
        <v>34</v>
      </c>
      <c r="D31" t="s">
        <v>133</v>
      </c>
      <c r="E31" t="s">
        <v>145</v>
      </c>
      <c r="F31">
        <v>9</v>
      </c>
      <c r="G31">
        <v>25063</v>
      </c>
      <c r="H31" s="23">
        <v>44956</v>
      </c>
      <c r="I31">
        <v>225567</v>
      </c>
      <c r="J31">
        <v>5012.6000000000004</v>
      </c>
    </row>
    <row r="32" spans="1:10" x14ac:dyDescent="0.3">
      <c r="A32">
        <v>131</v>
      </c>
      <c r="B32" t="s">
        <v>146</v>
      </c>
      <c r="C32" t="s">
        <v>36</v>
      </c>
      <c r="D32" t="s">
        <v>136</v>
      </c>
      <c r="E32" t="s">
        <v>140</v>
      </c>
      <c r="F32">
        <v>2</v>
      </c>
      <c r="G32">
        <v>7819</v>
      </c>
      <c r="H32" s="23">
        <v>44957</v>
      </c>
      <c r="I32">
        <v>15638</v>
      </c>
      <c r="J32">
        <v>1563.8</v>
      </c>
    </row>
    <row r="33" spans="1:10" x14ac:dyDescent="0.3">
      <c r="A33">
        <v>132</v>
      </c>
      <c r="B33" t="s">
        <v>139</v>
      </c>
      <c r="C33" t="s">
        <v>34</v>
      </c>
      <c r="D33" t="s">
        <v>128</v>
      </c>
      <c r="E33" t="s">
        <v>129</v>
      </c>
      <c r="F33">
        <v>3</v>
      </c>
      <c r="G33">
        <v>26712</v>
      </c>
      <c r="H33" s="23">
        <v>44958</v>
      </c>
      <c r="I33">
        <v>80136</v>
      </c>
      <c r="J33">
        <v>5342.4</v>
      </c>
    </row>
    <row r="34" spans="1:10" x14ac:dyDescent="0.3">
      <c r="A34">
        <v>133</v>
      </c>
      <c r="B34" t="s">
        <v>135</v>
      </c>
      <c r="C34" t="s">
        <v>35</v>
      </c>
      <c r="D34" t="s">
        <v>133</v>
      </c>
      <c r="E34" t="s">
        <v>141</v>
      </c>
      <c r="F34">
        <v>3</v>
      </c>
      <c r="G34">
        <v>25762</v>
      </c>
      <c r="H34" s="23">
        <v>44959</v>
      </c>
      <c r="I34">
        <v>77286</v>
      </c>
      <c r="J34">
        <v>5152.3999999999996</v>
      </c>
    </row>
    <row r="35" spans="1:10" x14ac:dyDescent="0.3">
      <c r="A35">
        <v>134</v>
      </c>
      <c r="B35" t="s">
        <v>139</v>
      </c>
      <c r="C35" t="s">
        <v>36</v>
      </c>
      <c r="D35" t="s">
        <v>130</v>
      </c>
      <c r="E35" t="s">
        <v>141</v>
      </c>
      <c r="F35">
        <v>1</v>
      </c>
      <c r="G35">
        <v>12046</v>
      </c>
      <c r="H35" s="23">
        <v>44960</v>
      </c>
      <c r="I35">
        <v>12046</v>
      </c>
      <c r="J35">
        <v>2409.1999999999998</v>
      </c>
    </row>
    <row r="36" spans="1:10" x14ac:dyDescent="0.3">
      <c r="A36">
        <v>135</v>
      </c>
      <c r="B36" t="s">
        <v>127</v>
      </c>
      <c r="C36" t="s">
        <v>35</v>
      </c>
      <c r="D36" t="s">
        <v>128</v>
      </c>
      <c r="E36" t="s">
        <v>134</v>
      </c>
      <c r="F36">
        <v>8</v>
      </c>
      <c r="G36">
        <v>32463</v>
      </c>
      <c r="H36" s="23">
        <v>44961</v>
      </c>
      <c r="I36">
        <v>259704</v>
      </c>
      <c r="J36">
        <v>6492.6</v>
      </c>
    </row>
    <row r="37" spans="1:10" x14ac:dyDescent="0.3">
      <c r="A37">
        <v>136</v>
      </c>
      <c r="B37" t="s">
        <v>135</v>
      </c>
      <c r="C37" t="s">
        <v>36</v>
      </c>
      <c r="D37" t="s">
        <v>133</v>
      </c>
      <c r="E37" t="s">
        <v>140</v>
      </c>
      <c r="F37">
        <v>6</v>
      </c>
      <c r="G37">
        <v>29769</v>
      </c>
      <c r="H37" s="23">
        <v>44962</v>
      </c>
      <c r="I37">
        <v>178614</v>
      </c>
      <c r="J37">
        <v>5953.8</v>
      </c>
    </row>
    <row r="38" spans="1:10" x14ac:dyDescent="0.3">
      <c r="A38">
        <v>137</v>
      </c>
      <c r="B38" t="s">
        <v>146</v>
      </c>
      <c r="C38" t="s">
        <v>35</v>
      </c>
      <c r="D38" t="s">
        <v>133</v>
      </c>
      <c r="E38" t="s">
        <v>137</v>
      </c>
      <c r="F38">
        <v>8</v>
      </c>
      <c r="G38">
        <v>24150</v>
      </c>
      <c r="H38" s="23">
        <v>44963</v>
      </c>
      <c r="I38">
        <v>193200</v>
      </c>
      <c r="J38">
        <v>4830</v>
      </c>
    </row>
    <row r="39" spans="1:10" x14ac:dyDescent="0.3">
      <c r="A39">
        <v>138</v>
      </c>
      <c r="B39" t="s">
        <v>127</v>
      </c>
      <c r="C39" t="s">
        <v>35</v>
      </c>
      <c r="D39" t="s">
        <v>128</v>
      </c>
      <c r="E39" t="s">
        <v>131</v>
      </c>
      <c r="F39">
        <v>9</v>
      </c>
      <c r="G39">
        <v>3711</v>
      </c>
      <c r="H39" s="23">
        <v>44964</v>
      </c>
      <c r="I39">
        <v>33399</v>
      </c>
      <c r="J39">
        <v>742.2</v>
      </c>
    </row>
    <row r="40" spans="1:10" x14ac:dyDescent="0.3">
      <c r="A40">
        <v>139</v>
      </c>
      <c r="B40" t="s">
        <v>144</v>
      </c>
      <c r="C40" t="s">
        <v>36</v>
      </c>
      <c r="D40" t="s">
        <v>130</v>
      </c>
      <c r="E40" t="s">
        <v>129</v>
      </c>
      <c r="F40">
        <v>5</v>
      </c>
      <c r="G40">
        <v>5853</v>
      </c>
      <c r="H40" s="23">
        <v>44965</v>
      </c>
      <c r="I40">
        <v>29265</v>
      </c>
      <c r="J40">
        <v>1170.5999999999999</v>
      </c>
    </row>
    <row r="41" spans="1:10" x14ac:dyDescent="0.3">
      <c r="A41">
        <v>140</v>
      </c>
      <c r="B41" t="s">
        <v>38</v>
      </c>
      <c r="C41" t="s">
        <v>36</v>
      </c>
      <c r="D41" t="s">
        <v>128</v>
      </c>
      <c r="E41" t="s">
        <v>140</v>
      </c>
      <c r="F41">
        <v>3</v>
      </c>
      <c r="G41">
        <v>30077</v>
      </c>
      <c r="H41" s="23">
        <v>44966</v>
      </c>
      <c r="I41">
        <v>90231</v>
      </c>
      <c r="J41">
        <v>6015.4</v>
      </c>
    </row>
    <row r="42" spans="1:10" x14ac:dyDescent="0.3">
      <c r="A42">
        <v>141</v>
      </c>
      <c r="B42" t="s">
        <v>146</v>
      </c>
      <c r="C42" t="s">
        <v>36</v>
      </c>
      <c r="D42" t="s">
        <v>133</v>
      </c>
      <c r="E42" t="s">
        <v>129</v>
      </c>
      <c r="F42">
        <v>5</v>
      </c>
      <c r="G42">
        <v>24863</v>
      </c>
      <c r="H42" s="23">
        <v>44967</v>
      </c>
      <c r="I42">
        <v>124315</v>
      </c>
      <c r="J42">
        <v>4972.6000000000004</v>
      </c>
    </row>
    <row r="43" spans="1:10" x14ac:dyDescent="0.3">
      <c r="A43">
        <v>142</v>
      </c>
      <c r="B43" t="s">
        <v>144</v>
      </c>
      <c r="C43" t="s">
        <v>33</v>
      </c>
      <c r="D43" t="s">
        <v>136</v>
      </c>
      <c r="E43" t="s">
        <v>129</v>
      </c>
      <c r="F43">
        <v>5</v>
      </c>
      <c r="G43">
        <v>22792</v>
      </c>
      <c r="H43" s="23">
        <v>44968</v>
      </c>
      <c r="I43">
        <v>113960</v>
      </c>
      <c r="J43">
        <v>4558.3999999999996</v>
      </c>
    </row>
    <row r="44" spans="1:10" x14ac:dyDescent="0.3">
      <c r="A44">
        <v>143</v>
      </c>
      <c r="B44" t="s">
        <v>138</v>
      </c>
      <c r="C44" t="s">
        <v>34</v>
      </c>
      <c r="D44" t="s">
        <v>136</v>
      </c>
      <c r="E44" t="s">
        <v>129</v>
      </c>
      <c r="F44">
        <v>5</v>
      </c>
      <c r="G44">
        <v>41483</v>
      </c>
      <c r="H44" s="23">
        <v>44969</v>
      </c>
      <c r="I44">
        <v>207415</v>
      </c>
      <c r="J44">
        <v>8296.6</v>
      </c>
    </row>
    <row r="45" spans="1:10" x14ac:dyDescent="0.3">
      <c r="A45">
        <v>144</v>
      </c>
      <c r="B45" t="s">
        <v>146</v>
      </c>
      <c r="C45" t="s">
        <v>33</v>
      </c>
      <c r="D45" t="s">
        <v>128</v>
      </c>
      <c r="E45" t="s">
        <v>140</v>
      </c>
      <c r="F45">
        <v>3</v>
      </c>
      <c r="G45">
        <v>9942</v>
      </c>
      <c r="H45" s="23">
        <v>44970</v>
      </c>
      <c r="I45">
        <v>29826</v>
      </c>
      <c r="J45">
        <v>1988.4</v>
      </c>
    </row>
    <row r="46" spans="1:10" x14ac:dyDescent="0.3">
      <c r="A46">
        <v>145</v>
      </c>
      <c r="B46" t="s">
        <v>138</v>
      </c>
      <c r="C46" t="s">
        <v>33</v>
      </c>
      <c r="D46" t="s">
        <v>133</v>
      </c>
      <c r="E46" t="s">
        <v>134</v>
      </c>
      <c r="F46">
        <v>4</v>
      </c>
      <c r="G46">
        <v>49275</v>
      </c>
      <c r="H46" s="23">
        <v>44971</v>
      </c>
      <c r="I46">
        <v>197100</v>
      </c>
      <c r="J46">
        <v>9855</v>
      </c>
    </row>
    <row r="47" spans="1:10" x14ac:dyDescent="0.3">
      <c r="A47">
        <v>146</v>
      </c>
      <c r="B47" t="s">
        <v>135</v>
      </c>
      <c r="C47" t="s">
        <v>35</v>
      </c>
      <c r="D47" t="s">
        <v>136</v>
      </c>
      <c r="E47" t="s">
        <v>141</v>
      </c>
      <c r="F47">
        <v>9</v>
      </c>
      <c r="G47">
        <v>49594</v>
      </c>
      <c r="H47" s="23">
        <v>44972</v>
      </c>
      <c r="I47">
        <v>446346</v>
      </c>
      <c r="J47">
        <v>9918.7999999999993</v>
      </c>
    </row>
    <row r="48" spans="1:10" x14ac:dyDescent="0.3">
      <c r="A48">
        <v>147</v>
      </c>
      <c r="B48" t="s">
        <v>144</v>
      </c>
      <c r="C48" t="s">
        <v>36</v>
      </c>
      <c r="D48" t="s">
        <v>133</v>
      </c>
      <c r="E48" t="s">
        <v>141</v>
      </c>
      <c r="F48">
        <v>9</v>
      </c>
      <c r="G48">
        <v>2762</v>
      </c>
      <c r="H48" s="23">
        <v>44973</v>
      </c>
      <c r="I48">
        <v>24858</v>
      </c>
      <c r="J48">
        <v>552.4</v>
      </c>
    </row>
    <row r="49" spans="1:10" x14ac:dyDescent="0.3">
      <c r="A49">
        <v>148</v>
      </c>
      <c r="B49" t="s">
        <v>38</v>
      </c>
      <c r="C49" t="s">
        <v>34</v>
      </c>
      <c r="D49" t="s">
        <v>128</v>
      </c>
      <c r="E49" t="s">
        <v>134</v>
      </c>
      <c r="F49">
        <v>2</v>
      </c>
      <c r="G49">
        <v>32987</v>
      </c>
      <c r="H49" s="23">
        <v>44974</v>
      </c>
      <c r="I49">
        <v>65974</v>
      </c>
      <c r="J49">
        <v>6597.4</v>
      </c>
    </row>
    <row r="50" spans="1:10" x14ac:dyDescent="0.3">
      <c r="A50">
        <v>149</v>
      </c>
      <c r="B50" t="s">
        <v>127</v>
      </c>
      <c r="C50" t="s">
        <v>35</v>
      </c>
      <c r="D50" t="s">
        <v>136</v>
      </c>
      <c r="E50" t="s">
        <v>129</v>
      </c>
      <c r="F50">
        <v>8</v>
      </c>
      <c r="G50">
        <v>16850</v>
      </c>
      <c r="H50" s="23">
        <v>44975</v>
      </c>
      <c r="I50">
        <v>134800</v>
      </c>
      <c r="J50">
        <v>3370</v>
      </c>
    </row>
    <row r="51" spans="1:10" x14ac:dyDescent="0.3">
      <c r="A51">
        <v>150</v>
      </c>
      <c r="B51" t="s">
        <v>132</v>
      </c>
      <c r="C51" t="s">
        <v>33</v>
      </c>
      <c r="D51" t="s">
        <v>133</v>
      </c>
      <c r="E51" t="s">
        <v>131</v>
      </c>
      <c r="F51">
        <v>8</v>
      </c>
      <c r="G51">
        <v>13112</v>
      </c>
      <c r="H51" s="23">
        <v>44976</v>
      </c>
      <c r="I51">
        <v>104896</v>
      </c>
      <c r="J51">
        <v>2622.4</v>
      </c>
    </row>
    <row r="52" spans="1:10" x14ac:dyDescent="0.3">
      <c r="A52">
        <v>151</v>
      </c>
      <c r="B52" t="s">
        <v>139</v>
      </c>
      <c r="C52" t="s">
        <v>36</v>
      </c>
      <c r="D52" t="s">
        <v>136</v>
      </c>
      <c r="E52" t="s">
        <v>143</v>
      </c>
      <c r="F52">
        <v>7</v>
      </c>
      <c r="G52">
        <v>25058</v>
      </c>
      <c r="H52" s="23">
        <v>44977</v>
      </c>
      <c r="I52">
        <v>175406</v>
      </c>
      <c r="J52">
        <v>5011.6000000000004</v>
      </c>
    </row>
    <row r="53" spans="1:10" x14ac:dyDescent="0.3">
      <c r="A53">
        <v>152</v>
      </c>
      <c r="B53" t="s">
        <v>19</v>
      </c>
      <c r="C53" t="s">
        <v>35</v>
      </c>
      <c r="D53" t="s">
        <v>128</v>
      </c>
      <c r="E53" t="s">
        <v>140</v>
      </c>
      <c r="F53">
        <v>8</v>
      </c>
      <c r="G53">
        <v>46420</v>
      </c>
      <c r="H53" s="23">
        <v>44978</v>
      </c>
      <c r="I53">
        <v>371360</v>
      </c>
      <c r="J53">
        <v>9284</v>
      </c>
    </row>
    <row r="54" spans="1:10" x14ac:dyDescent="0.3">
      <c r="A54">
        <v>153</v>
      </c>
      <c r="B54" t="s">
        <v>38</v>
      </c>
      <c r="C54" t="s">
        <v>36</v>
      </c>
      <c r="D54" t="s">
        <v>133</v>
      </c>
      <c r="E54" t="s">
        <v>143</v>
      </c>
      <c r="F54">
        <v>3</v>
      </c>
      <c r="G54">
        <v>39890</v>
      </c>
      <c r="H54" s="23">
        <v>44979</v>
      </c>
      <c r="I54">
        <v>119670</v>
      </c>
      <c r="J54">
        <v>7978</v>
      </c>
    </row>
    <row r="55" spans="1:10" x14ac:dyDescent="0.3">
      <c r="A55">
        <v>154</v>
      </c>
      <c r="B55" t="s">
        <v>144</v>
      </c>
      <c r="C55" t="s">
        <v>35</v>
      </c>
      <c r="D55" t="s">
        <v>136</v>
      </c>
      <c r="E55" t="s">
        <v>137</v>
      </c>
      <c r="F55">
        <v>6</v>
      </c>
      <c r="G55">
        <v>1481</v>
      </c>
      <c r="H55" s="23">
        <v>44980</v>
      </c>
      <c r="I55">
        <v>8886</v>
      </c>
      <c r="J55">
        <v>296.2</v>
      </c>
    </row>
    <row r="56" spans="1:10" x14ac:dyDescent="0.3">
      <c r="A56">
        <v>155</v>
      </c>
      <c r="B56" t="s">
        <v>132</v>
      </c>
      <c r="C56" t="s">
        <v>36</v>
      </c>
      <c r="D56" t="s">
        <v>128</v>
      </c>
      <c r="E56" t="s">
        <v>134</v>
      </c>
      <c r="F56">
        <v>1</v>
      </c>
      <c r="G56">
        <v>48304</v>
      </c>
      <c r="H56" s="23">
        <v>44981</v>
      </c>
      <c r="I56">
        <v>48304</v>
      </c>
      <c r="J56">
        <v>9660.7999999999993</v>
      </c>
    </row>
    <row r="57" spans="1:10" x14ac:dyDescent="0.3">
      <c r="A57">
        <v>156</v>
      </c>
      <c r="B57" t="s">
        <v>38</v>
      </c>
      <c r="C57" t="s">
        <v>33</v>
      </c>
      <c r="D57" t="s">
        <v>136</v>
      </c>
      <c r="E57" t="s">
        <v>131</v>
      </c>
      <c r="F57">
        <v>7</v>
      </c>
      <c r="G57">
        <v>33921</v>
      </c>
      <c r="H57" s="23">
        <v>44982</v>
      </c>
      <c r="I57">
        <v>237447</v>
      </c>
      <c r="J57">
        <v>6784.2</v>
      </c>
    </row>
    <row r="58" spans="1:10" x14ac:dyDescent="0.3">
      <c r="A58">
        <v>157</v>
      </c>
      <c r="B58" t="s">
        <v>144</v>
      </c>
      <c r="C58" t="s">
        <v>34</v>
      </c>
      <c r="D58" t="s">
        <v>136</v>
      </c>
      <c r="E58" t="s">
        <v>140</v>
      </c>
      <c r="F58">
        <v>1</v>
      </c>
      <c r="G58">
        <v>41385</v>
      </c>
      <c r="H58" s="23">
        <v>44983</v>
      </c>
      <c r="I58">
        <v>41385</v>
      </c>
      <c r="J58">
        <v>8277</v>
      </c>
    </row>
    <row r="59" spans="1:10" x14ac:dyDescent="0.3">
      <c r="A59">
        <v>158</v>
      </c>
      <c r="B59" t="s">
        <v>142</v>
      </c>
      <c r="C59" t="s">
        <v>33</v>
      </c>
      <c r="D59" t="s">
        <v>130</v>
      </c>
      <c r="E59" t="s">
        <v>134</v>
      </c>
      <c r="F59">
        <v>9</v>
      </c>
      <c r="G59">
        <v>2524</v>
      </c>
      <c r="H59" s="23">
        <v>44984</v>
      </c>
      <c r="I59">
        <v>22716</v>
      </c>
      <c r="J59">
        <v>504.8</v>
      </c>
    </row>
    <row r="60" spans="1:10" x14ac:dyDescent="0.3">
      <c r="A60">
        <v>159</v>
      </c>
      <c r="B60" t="s">
        <v>142</v>
      </c>
      <c r="C60" t="s">
        <v>34</v>
      </c>
      <c r="D60" t="s">
        <v>130</v>
      </c>
      <c r="E60" t="s">
        <v>129</v>
      </c>
      <c r="F60">
        <v>1</v>
      </c>
      <c r="G60">
        <v>35888</v>
      </c>
      <c r="H60" s="23">
        <v>44985</v>
      </c>
      <c r="I60">
        <v>35888</v>
      </c>
      <c r="J60">
        <v>7177.6</v>
      </c>
    </row>
    <row r="61" spans="1:10" x14ac:dyDescent="0.3">
      <c r="A61">
        <v>160</v>
      </c>
      <c r="B61" t="s">
        <v>138</v>
      </c>
      <c r="C61" t="s">
        <v>36</v>
      </c>
      <c r="D61" t="s">
        <v>128</v>
      </c>
      <c r="E61" t="s">
        <v>141</v>
      </c>
      <c r="F61">
        <v>1</v>
      </c>
      <c r="G61">
        <v>16048</v>
      </c>
      <c r="H61" s="23">
        <v>44986</v>
      </c>
      <c r="I61">
        <v>16048</v>
      </c>
      <c r="J61">
        <v>3209.6</v>
      </c>
    </row>
    <row r="62" spans="1:10" x14ac:dyDescent="0.3">
      <c r="A62">
        <v>161</v>
      </c>
      <c r="B62" t="s">
        <v>38</v>
      </c>
      <c r="C62" t="s">
        <v>35</v>
      </c>
      <c r="D62" t="s">
        <v>130</v>
      </c>
      <c r="E62" t="s">
        <v>143</v>
      </c>
      <c r="F62">
        <v>7</v>
      </c>
      <c r="G62">
        <v>36111</v>
      </c>
      <c r="H62" s="23">
        <v>44987</v>
      </c>
      <c r="I62">
        <v>252777</v>
      </c>
      <c r="J62">
        <v>7222.2</v>
      </c>
    </row>
    <row r="63" spans="1:10" x14ac:dyDescent="0.3">
      <c r="A63">
        <v>162</v>
      </c>
      <c r="B63" t="s">
        <v>142</v>
      </c>
      <c r="C63" t="s">
        <v>33</v>
      </c>
      <c r="D63" t="s">
        <v>128</v>
      </c>
      <c r="E63" t="s">
        <v>145</v>
      </c>
      <c r="F63">
        <v>2</v>
      </c>
      <c r="G63">
        <v>38904</v>
      </c>
      <c r="H63" s="23">
        <v>44988</v>
      </c>
      <c r="I63">
        <v>77808</v>
      </c>
      <c r="J63">
        <v>7780.8</v>
      </c>
    </row>
    <row r="64" spans="1:10" x14ac:dyDescent="0.3">
      <c r="A64">
        <v>163</v>
      </c>
      <c r="B64" t="s">
        <v>144</v>
      </c>
      <c r="C64" t="s">
        <v>34</v>
      </c>
      <c r="D64" t="s">
        <v>130</v>
      </c>
      <c r="E64" t="s">
        <v>145</v>
      </c>
      <c r="F64">
        <v>5</v>
      </c>
      <c r="G64">
        <v>35008</v>
      </c>
      <c r="H64" s="23">
        <v>44989</v>
      </c>
      <c r="I64">
        <v>175040</v>
      </c>
      <c r="J64">
        <v>7001.6</v>
      </c>
    </row>
    <row r="65" spans="1:10" x14ac:dyDescent="0.3">
      <c r="A65">
        <v>164</v>
      </c>
      <c r="B65" t="s">
        <v>138</v>
      </c>
      <c r="C65" t="s">
        <v>33</v>
      </c>
      <c r="D65" t="s">
        <v>136</v>
      </c>
      <c r="E65" t="s">
        <v>131</v>
      </c>
      <c r="F65">
        <v>8</v>
      </c>
      <c r="G65">
        <v>1060</v>
      </c>
      <c r="H65" s="23">
        <v>44990</v>
      </c>
      <c r="I65">
        <v>8480</v>
      </c>
      <c r="J65">
        <v>212</v>
      </c>
    </row>
    <row r="66" spans="1:10" x14ac:dyDescent="0.3">
      <c r="A66">
        <v>165</v>
      </c>
      <c r="B66" t="s">
        <v>144</v>
      </c>
      <c r="C66" t="s">
        <v>34</v>
      </c>
      <c r="D66" t="s">
        <v>128</v>
      </c>
      <c r="E66" t="s">
        <v>129</v>
      </c>
      <c r="F66">
        <v>8</v>
      </c>
      <c r="G66">
        <v>10130</v>
      </c>
      <c r="H66" s="23">
        <v>44991</v>
      </c>
      <c r="I66">
        <v>81040</v>
      </c>
      <c r="J66">
        <v>2026</v>
      </c>
    </row>
    <row r="67" spans="1:10" x14ac:dyDescent="0.3">
      <c r="A67">
        <v>166</v>
      </c>
      <c r="B67" t="s">
        <v>138</v>
      </c>
      <c r="C67" t="s">
        <v>33</v>
      </c>
      <c r="D67" t="s">
        <v>128</v>
      </c>
      <c r="E67" t="s">
        <v>137</v>
      </c>
      <c r="F67">
        <v>3</v>
      </c>
      <c r="G67">
        <v>19023</v>
      </c>
      <c r="H67" s="23">
        <v>44992</v>
      </c>
      <c r="I67">
        <v>57069</v>
      </c>
      <c r="J67">
        <v>3804.6</v>
      </c>
    </row>
    <row r="68" spans="1:10" x14ac:dyDescent="0.3">
      <c r="A68">
        <v>167</v>
      </c>
      <c r="B68" t="s">
        <v>38</v>
      </c>
      <c r="C68" t="s">
        <v>34</v>
      </c>
      <c r="D68" t="s">
        <v>136</v>
      </c>
      <c r="E68" t="s">
        <v>143</v>
      </c>
      <c r="F68">
        <v>7</v>
      </c>
      <c r="G68">
        <v>46080</v>
      </c>
      <c r="H68" s="23">
        <v>44993</v>
      </c>
      <c r="I68">
        <v>322560</v>
      </c>
      <c r="J68">
        <v>9216</v>
      </c>
    </row>
    <row r="69" spans="1:10" x14ac:dyDescent="0.3">
      <c r="A69">
        <v>168</v>
      </c>
      <c r="B69" t="s">
        <v>132</v>
      </c>
      <c r="C69" t="s">
        <v>34</v>
      </c>
      <c r="D69" t="s">
        <v>128</v>
      </c>
      <c r="E69" t="s">
        <v>129</v>
      </c>
      <c r="F69">
        <v>3</v>
      </c>
      <c r="G69">
        <v>14350</v>
      </c>
      <c r="H69" s="23">
        <v>44994</v>
      </c>
      <c r="I69">
        <v>43050</v>
      </c>
      <c r="J69">
        <v>2870</v>
      </c>
    </row>
    <row r="70" spans="1:10" x14ac:dyDescent="0.3">
      <c r="A70">
        <v>169</v>
      </c>
      <c r="B70" t="s">
        <v>127</v>
      </c>
      <c r="C70" t="s">
        <v>36</v>
      </c>
      <c r="D70" t="s">
        <v>128</v>
      </c>
      <c r="E70" t="s">
        <v>143</v>
      </c>
      <c r="F70">
        <v>6</v>
      </c>
      <c r="G70">
        <v>25354</v>
      </c>
      <c r="H70" s="23">
        <v>44995</v>
      </c>
      <c r="I70">
        <v>152124</v>
      </c>
      <c r="J70">
        <v>5070.8</v>
      </c>
    </row>
    <row r="71" spans="1:10" x14ac:dyDescent="0.3">
      <c r="A71">
        <v>170</v>
      </c>
      <c r="B71" t="s">
        <v>146</v>
      </c>
      <c r="C71" t="s">
        <v>34</v>
      </c>
      <c r="D71" t="s">
        <v>130</v>
      </c>
      <c r="E71" t="s">
        <v>131</v>
      </c>
      <c r="F71">
        <v>6</v>
      </c>
      <c r="G71">
        <v>46186</v>
      </c>
      <c r="H71" s="23">
        <v>44996</v>
      </c>
      <c r="I71">
        <v>277116</v>
      </c>
      <c r="J71">
        <v>9237.2000000000007</v>
      </c>
    </row>
    <row r="72" spans="1:10" x14ac:dyDescent="0.3">
      <c r="A72">
        <v>171</v>
      </c>
      <c r="B72" t="s">
        <v>132</v>
      </c>
      <c r="C72" t="s">
        <v>36</v>
      </c>
      <c r="D72" t="s">
        <v>128</v>
      </c>
      <c r="E72" t="s">
        <v>131</v>
      </c>
      <c r="F72">
        <v>3</v>
      </c>
      <c r="G72">
        <v>29145</v>
      </c>
      <c r="H72" s="23">
        <v>44997</v>
      </c>
      <c r="I72">
        <v>87435</v>
      </c>
      <c r="J72">
        <v>5829</v>
      </c>
    </row>
    <row r="73" spans="1:10" x14ac:dyDescent="0.3">
      <c r="A73">
        <v>172</v>
      </c>
      <c r="B73" t="s">
        <v>135</v>
      </c>
      <c r="C73" t="s">
        <v>34</v>
      </c>
      <c r="D73" t="s">
        <v>133</v>
      </c>
      <c r="E73" t="s">
        <v>137</v>
      </c>
      <c r="F73">
        <v>7</v>
      </c>
      <c r="G73">
        <v>35020</v>
      </c>
      <c r="H73" s="23">
        <v>44998</v>
      </c>
      <c r="I73">
        <v>245140</v>
      </c>
      <c r="J73">
        <v>7004</v>
      </c>
    </row>
    <row r="74" spans="1:10" x14ac:dyDescent="0.3">
      <c r="A74">
        <v>173</v>
      </c>
      <c r="B74" t="s">
        <v>144</v>
      </c>
      <c r="C74" t="s">
        <v>35</v>
      </c>
      <c r="D74" t="s">
        <v>136</v>
      </c>
      <c r="E74" t="s">
        <v>145</v>
      </c>
      <c r="F74">
        <v>3</v>
      </c>
      <c r="G74">
        <v>21587</v>
      </c>
      <c r="H74" s="23">
        <v>44999</v>
      </c>
      <c r="I74">
        <v>64761</v>
      </c>
      <c r="J74">
        <v>4317.3999999999996</v>
      </c>
    </row>
    <row r="75" spans="1:10" x14ac:dyDescent="0.3">
      <c r="A75">
        <v>174</v>
      </c>
      <c r="B75" t="s">
        <v>135</v>
      </c>
      <c r="C75" t="s">
        <v>35</v>
      </c>
      <c r="D75" t="s">
        <v>130</v>
      </c>
      <c r="E75" t="s">
        <v>129</v>
      </c>
      <c r="F75">
        <v>8</v>
      </c>
      <c r="G75">
        <v>42131</v>
      </c>
      <c r="H75" s="23">
        <v>45000</v>
      </c>
      <c r="I75">
        <v>337048</v>
      </c>
      <c r="J75">
        <v>8426.2000000000007</v>
      </c>
    </row>
    <row r="76" spans="1:10" x14ac:dyDescent="0.3">
      <c r="A76">
        <v>175</v>
      </c>
      <c r="B76" t="s">
        <v>132</v>
      </c>
      <c r="C76" t="s">
        <v>35</v>
      </c>
      <c r="D76" t="s">
        <v>130</v>
      </c>
      <c r="E76" t="s">
        <v>140</v>
      </c>
      <c r="F76">
        <v>4</v>
      </c>
      <c r="G76">
        <v>10650</v>
      </c>
      <c r="H76" s="23">
        <v>45001</v>
      </c>
      <c r="I76">
        <v>42600</v>
      </c>
      <c r="J76">
        <v>2130</v>
      </c>
    </row>
    <row r="77" spans="1:10" x14ac:dyDescent="0.3">
      <c r="A77">
        <v>176</v>
      </c>
      <c r="B77" t="s">
        <v>138</v>
      </c>
      <c r="C77" t="s">
        <v>34</v>
      </c>
      <c r="D77" t="s">
        <v>133</v>
      </c>
      <c r="E77" t="s">
        <v>145</v>
      </c>
      <c r="F77">
        <v>1</v>
      </c>
      <c r="G77">
        <v>20933</v>
      </c>
      <c r="H77" s="23">
        <v>45002</v>
      </c>
      <c r="I77">
        <v>20933</v>
      </c>
      <c r="J77">
        <v>4186.6000000000004</v>
      </c>
    </row>
    <row r="78" spans="1:10" x14ac:dyDescent="0.3">
      <c r="A78">
        <v>177</v>
      </c>
      <c r="B78" t="s">
        <v>146</v>
      </c>
      <c r="C78" t="s">
        <v>36</v>
      </c>
      <c r="D78" t="s">
        <v>136</v>
      </c>
      <c r="E78" t="s">
        <v>129</v>
      </c>
      <c r="F78">
        <v>4</v>
      </c>
      <c r="G78">
        <v>21581</v>
      </c>
      <c r="H78" s="23">
        <v>45003</v>
      </c>
      <c r="I78">
        <v>86324</v>
      </c>
      <c r="J78">
        <v>4316.2</v>
      </c>
    </row>
    <row r="79" spans="1:10" x14ac:dyDescent="0.3">
      <c r="A79">
        <v>178</v>
      </c>
      <c r="B79" t="s">
        <v>146</v>
      </c>
      <c r="C79" t="s">
        <v>36</v>
      </c>
      <c r="D79" t="s">
        <v>136</v>
      </c>
      <c r="E79" t="s">
        <v>145</v>
      </c>
      <c r="F79">
        <v>7</v>
      </c>
      <c r="G79">
        <v>24393</v>
      </c>
      <c r="H79" s="23">
        <v>45004</v>
      </c>
      <c r="I79">
        <v>170751</v>
      </c>
      <c r="J79">
        <v>4878.6000000000004</v>
      </c>
    </row>
    <row r="80" spans="1:10" x14ac:dyDescent="0.3">
      <c r="A80">
        <v>179</v>
      </c>
      <c r="B80" t="s">
        <v>19</v>
      </c>
      <c r="C80" t="s">
        <v>34</v>
      </c>
      <c r="D80" t="s">
        <v>130</v>
      </c>
      <c r="E80" t="s">
        <v>140</v>
      </c>
      <c r="F80">
        <v>4</v>
      </c>
      <c r="G80">
        <v>24051</v>
      </c>
      <c r="H80" s="23">
        <v>45005</v>
      </c>
      <c r="I80">
        <v>96204</v>
      </c>
      <c r="J80">
        <v>4810.2</v>
      </c>
    </row>
    <row r="81" spans="1:10" x14ac:dyDescent="0.3">
      <c r="A81">
        <v>180</v>
      </c>
      <c r="B81" t="s">
        <v>146</v>
      </c>
      <c r="C81" t="s">
        <v>35</v>
      </c>
      <c r="D81" t="s">
        <v>128</v>
      </c>
      <c r="E81" t="s">
        <v>141</v>
      </c>
      <c r="F81">
        <v>6</v>
      </c>
      <c r="G81">
        <v>27212</v>
      </c>
      <c r="H81" s="23">
        <v>45006</v>
      </c>
      <c r="I81">
        <v>163272</v>
      </c>
      <c r="J81">
        <v>5442.4</v>
      </c>
    </row>
    <row r="82" spans="1:10" x14ac:dyDescent="0.3">
      <c r="A82">
        <v>181</v>
      </c>
      <c r="B82" t="s">
        <v>127</v>
      </c>
      <c r="C82" t="s">
        <v>35</v>
      </c>
      <c r="D82" t="s">
        <v>130</v>
      </c>
      <c r="E82" t="s">
        <v>141</v>
      </c>
      <c r="F82">
        <v>9</v>
      </c>
      <c r="G82">
        <v>5090</v>
      </c>
      <c r="H82" s="23">
        <v>45007</v>
      </c>
      <c r="I82">
        <v>45810</v>
      </c>
      <c r="J82">
        <v>1018</v>
      </c>
    </row>
    <row r="83" spans="1:10" x14ac:dyDescent="0.3">
      <c r="A83">
        <v>182</v>
      </c>
      <c r="B83" t="s">
        <v>146</v>
      </c>
      <c r="C83" t="s">
        <v>36</v>
      </c>
      <c r="D83" t="s">
        <v>136</v>
      </c>
      <c r="E83" t="s">
        <v>137</v>
      </c>
      <c r="F83">
        <v>1</v>
      </c>
      <c r="G83">
        <v>7960</v>
      </c>
      <c r="H83" s="23">
        <v>45008</v>
      </c>
      <c r="I83">
        <v>7960</v>
      </c>
      <c r="J83">
        <v>1592</v>
      </c>
    </row>
    <row r="84" spans="1:10" x14ac:dyDescent="0.3">
      <c r="A84">
        <v>183</v>
      </c>
      <c r="B84" t="s">
        <v>132</v>
      </c>
      <c r="C84" t="s">
        <v>35</v>
      </c>
      <c r="D84" t="s">
        <v>133</v>
      </c>
      <c r="E84" t="s">
        <v>141</v>
      </c>
      <c r="F84">
        <v>5</v>
      </c>
      <c r="G84">
        <v>36772</v>
      </c>
      <c r="H84" s="23">
        <v>45009</v>
      </c>
      <c r="I84">
        <v>183860</v>
      </c>
      <c r="J84">
        <v>7354.4</v>
      </c>
    </row>
    <row r="85" spans="1:10" x14ac:dyDescent="0.3">
      <c r="A85">
        <v>184</v>
      </c>
      <c r="B85" t="s">
        <v>19</v>
      </c>
      <c r="C85" t="s">
        <v>33</v>
      </c>
      <c r="D85" t="s">
        <v>130</v>
      </c>
      <c r="E85" t="s">
        <v>141</v>
      </c>
      <c r="F85">
        <v>7</v>
      </c>
      <c r="G85">
        <v>22520</v>
      </c>
      <c r="H85" s="23">
        <v>45010</v>
      </c>
      <c r="I85">
        <v>157640</v>
      </c>
      <c r="J85">
        <v>4504</v>
      </c>
    </row>
    <row r="86" spans="1:10" x14ac:dyDescent="0.3">
      <c r="A86">
        <v>185</v>
      </c>
      <c r="B86" t="s">
        <v>132</v>
      </c>
      <c r="C86" t="s">
        <v>36</v>
      </c>
      <c r="D86" t="s">
        <v>136</v>
      </c>
      <c r="E86" t="s">
        <v>134</v>
      </c>
      <c r="F86">
        <v>1</v>
      </c>
      <c r="G86">
        <v>37408</v>
      </c>
      <c r="H86" s="23">
        <v>45011</v>
      </c>
      <c r="I86">
        <v>37408</v>
      </c>
      <c r="J86">
        <v>7481.6</v>
      </c>
    </row>
    <row r="87" spans="1:10" x14ac:dyDescent="0.3">
      <c r="A87">
        <v>186</v>
      </c>
      <c r="B87" t="s">
        <v>132</v>
      </c>
      <c r="C87" t="s">
        <v>35</v>
      </c>
      <c r="D87" t="s">
        <v>130</v>
      </c>
      <c r="E87" t="s">
        <v>143</v>
      </c>
      <c r="F87">
        <v>4</v>
      </c>
      <c r="G87">
        <v>29470</v>
      </c>
      <c r="H87" s="23">
        <v>45012</v>
      </c>
      <c r="I87">
        <v>117880</v>
      </c>
      <c r="J87">
        <v>5894</v>
      </c>
    </row>
    <row r="88" spans="1:10" x14ac:dyDescent="0.3">
      <c r="A88">
        <v>187</v>
      </c>
      <c r="B88" t="s">
        <v>139</v>
      </c>
      <c r="C88" t="s">
        <v>36</v>
      </c>
      <c r="D88" t="s">
        <v>128</v>
      </c>
      <c r="E88" t="s">
        <v>134</v>
      </c>
      <c r="F88">
        <v>6</v>
      </c>
      <c r="G88">
        <v>21491</v>
      </c>
      <c r="H88" s="23">
        <v>45013</v>
      </c>
      <c r="I88">
        <v>128946</v>
      </c>
      <c r="J88">
        <v>4298.2</v>
      </c>
    </row>
    <row r="89" spans="1:10" x14ac:dyDescent="0.3">
      <c r="A89">
        <v>188</v>
      </c>
      <c r="B89" t="s">
        <v>19</v>
      </c>
      <c r="C89" t="s">
        <v>33</v>
      </c>
      <c r="D89" t="s">
        <v>130</v>
      </c>
      <c r="E89" t="s">
        <v>134</v>
      </c>
      <c r="F89">
        <v>2</v>
      </c>
      <c r="G89">
        <v>2341</v>
      </c>
      <c r="H89" s="23">
        <v>45014</v>
      </c>
      <c r="I89">
        <v>4682</v>
      </c>
      <c r="J89">
        <v>468.2</v>
      </c>
    </row>
    <row r="90" spans="1:10" x14ac:dyDescent="0.3">
      <c r="A90">
        <v>189</v>
      </c>
      <c r="B90" t="s">
        <v>132</v>
      </c>
      <c r="C90" t="s">
        <v>36</v>
      </c>
      <c r="D90" t="s">
        <v>130</v>
      </c>
      <c r="E90" t="s">
        <v>137</v>
      </c>
      <c r="F90">
        <v>5</v>
      </c>
      <c r="G90">
        <v>45623</v>
      </c>
      <c r="H90" s="23">
        <v>45015</v>
      </c>
      <c r="I90">
        <v>228115</v>
      </c>
      <c r="J90">
        <v>9124.6</v>
      </c>
    </row>
    <row r="91" spans="1:10" x14ac:dyDescent="0.3">
      <c r="A91">
        <v>190</v>
      </c>
      <c r="B91" t="s">
        <v>139</v>
      </c>
      <c r="C91" t="s">
        <v>36</v>
      </c>
      <c r="D91" t="s">
        <v>136</v>
      </c>
      <c r="E91" t="s">
        <v>134</v>
      </c>
      <c r="F91">
        <v>1</v>
      </c>
      <c r="G91">
        <v>25791</v>
      </c>
      <c r="H91" s="23">
        <v>45016</v>
      </c>
      <c r="I91">
        <v>25791</v>
      </c>
      <c r="J91">
        <v>5158.2</v>
      </c>
    </row>
    <row r="92" spans="1:10" x14ac:dyDescent="0.3">
      <c r="A92">
        <v>191</v>
      </c>
      <c r="B92" t="s">
        <v>139</v>
      </c>
      <c r="C92" t="s">
        <v>36</v>
      </c>
      <c r="D92" t="s">
        <v>136</v>
      </c>
      <c r="E92" t="s">
        <v>141</v>
      </c>
      <c r="F92">
        <v>6</v>
      </c>
      <c r="G92">
        <v>1338</v>
      </c>
      <c r="H92" s="23">
        <v>45017</v>
      </c>
      <c r="I92">
        <v>8028</v>
      </c>
      <c r="J92">
        <v>267.60000000000002</v>
      </c>
    </row>
    <row r="93" spans="1:10" x14ac:dyDescent="0.3">
      <c r="A93">
        <v>192</v>
      </c>
      <c r="B93" t="s">
        <v>19</v>
      </c>
      <c r="C93" t="s">
        <v>36</v>
      </c>
      <c r="D93" t="s">
        <v>136</v>
      </c>
      <c r="E93" t="s">
        <v>140</v>
      </c>
      <c r="F93">
        <v>6</v>
      </c>
      <c r="G93">
        <v>6895</v>
      </c>
      <c r="H93" s="23">
        <v>45018</v>
      </c>
      <c r="I93">
        <v>41370</v>
      </c>
      <c r="J93">
        <v>1379</v>
      </c>
    </row>
    <row r="94" spans="1:10" x14ac:dyDescent="0.3">
      <c r="A94">
        <v>193</v>
      </c>
      <c r="B94" t="s">
        <v>135</v>
      </c>
      <c r="C94" t="s">
        <v>33</v>
      </c>
      <c r="D94" t="s">
        <v>130</v>
      </c>
      <c r="E94" t="s">
        <v>137</v>
      </c>
      <c r="F94">
        <v>4</v>
      </c>
      <c r="G94">
        <v>13254</v>
      </c>
      <c r="H94" s="23">
        <v>45019</v>
      </c>
      <c r="I94">
        <v>53016</v>
      </c>
      <c r="J94">
        <v>2650.8</v>
      </c>
    </row>
    <row r="95" spans="1:10" x14ac:dyDescent="0.3">
      <c r="A95">
        <v>194</v>
      </c>
      <c r="B95" t="s">
        <v>138</v>
      </c>
      <c r="C95" t="s">
        <v>34</v>
      </c>
      <c r="D95" t="s">
        <v>128</v>
      </c>
      <c r="E95" t="s">
        <v>137</v>
      </c>
      <c r="F95">
        <v>8</v>
      </c>
      <c r="G95">
        <v>12344</v>
      </c>
      <c r="H95" s="23">
        <v>45020</v>
      </c>
      <c r="I95">
        <v>98752</v>
      </c>
      <c r="J95">
        <v>2468.8000000000002</v>
      </c>
    </row>
    <row r="96" spans="1:10" x14ac:dyDescent="0.3">
      <c r="A96">
        <v>195</v>
      </c>
      <c r="B96" t="s">
        <v>127</v>
      </c>
      <c r="C96" t="s">
        <v>36</v>
      </c>
      <c r="D96" t="s">
        <v>133</v>
      </c>
      <c r="E96" t="s">
        <v>131</v>
      </c>
      <c r="F96">
        <v>4</v>
      </c>
      <c r="G96">
        <v>2750</v>
      </c>
      <c r="H96" s="23">
        <v>45021</v>
      </c>
      <c r="I96">
        <v>11000</v>
      </c>
      <c r="J96">
        <v>550</v>
      </c>
    </row>
    <row r="97" spans="1:10" x14ac:dyDescent="0.3">
      <c r="A97">
        <v>196</v>
      </c>
      <c r="B97" t="s">
        <v>138</v>
      </c>
      <c r="C97" t="s">
        <v>36</v>
      </c>
      <c r="D97" t="s">
        <v>133</v>
      </c>
      <c r="E97" t="s">
        <v>137</v>
      </c>
      <c r="F97">
        <v>8</v>
      </c>
      <c r="G97">
        <v>3421</v>
      </c>
      <c r="H97" s="23">
        <v>45022</v>
      </c>
      <c r="I97">
        <v>27368</v>
      </c>
      <c r="J97">
        <v>684.2</v>
      </c>
    </row>
    <row r="98" spans="1:10" x14ac:dyDescent="0.3">
      <c r="A98">
        <v>197</v>
      </c>
      <c r="B98" t="s">
        <v>146</v>
      </c>
      <c r="C98" t="s">
        <v>35</v>
      </c>
      <c r="D98" t="s">
        <v>136</v>
      </c>
      <c r="E98" t="s">
        <v>131</v>
      </c>
      <c r="F98">
        <v>8</v>
      </c>
      <c r="G98">
        <v>40887</v>
      </c>
      <c r="H98" s="23">
        <v>45023</v>
      </c>
      <c r="I98">
        <v>327096</v>
      </c>
      <c r="J98">
        <v>8177.4</v>
      </c>
    </row>
    <row r="99" spans="1:10" x14ac:dyDescent="0.3">
      <c r="A99">
        <v>198</v>
      </c>
      <c r="B99" t="s">
        <v>127</v>
      </c>
      <c r="C99" t="s">
        <v>36</v>
      </c>
      <c r="D99" t="s">
        <v>136</v>
      </c>
      <c r="E99" t="s">
        <v>137</v>
      </c>
      <c r="F99">
        <v>5</v>
      </c>
      <c r="G99">
        <v>6319</v>
      </c>
      <c r="H99" s="23">
        <v>45024</v>
      </c>
      <c r="I99">
        <v>31595</v>
      </c>
      <c r="J99">
        <v>1263.8</v>
      </c>
    </row>
    <row r="100" spans="1:10" x14ac:dyDescent="0.3">
      <c r="A100">
        <v>199</v>
      </c>
      <c r="B100" t="s">
        <v>146</v>
      </c>
      <c r="C100" t="s">
        <v>35</v>
      </c>
      <c r="D100" t="s">
        <v>130</v>
      </c>
      <c r="E100" t="s">
        <v>143</v>
      </c>
      <c r="F100">
        <v>4</v>
      </c>
      <c r="G100">
        <v>16896</v>
      </c>
      <c r="H100" s="23">
        <v>45025</v>
      </c>
      <c r="I100">
        <v>67584</v>
      </c>
      <c r="J100">
        <v>3379.2</v>
      </c>
    </row>
    <row r="101" spans="1:10" x14ac:dyDescent="0.3">
      <c r="A101">
        <v>200</v>
      </c>
      <c r="B101" t="s">
        <v>132</v>
      </c>
      <c r="C101" t="s">
        <v>34</v>
      </c>
      <c r="D101" t="s">
        <v>133</v>
      </c>
      <c r="E101" t="s">
        <v>141</v>
      </c>
      <c r="F101">
        <v>2</v>
      </c>
      <c r="G101">
        <v>12918</v>
      </c>
      <c r="H101" s="23">
        <v>45026</v>
      </c>
      <c r="I101">
        <v>25836</v>
      </c>
      <c r="J101">
        <v>2583.6</v>
      </c>
    </row>
    <row r="102" spans="1:10" x14ac:dyDescent="0.3">
      <c r="A102">
        <v>201</v>
      </c>
      <c r="B102" t="s">
        <v>144</v>
      </c>
      <c r="C102" t="s">
        <v>33</v>
      </c>
      <c r="D102" t="s">
        <v>136</v>
      </c>
      <c r="E102" t="s">
        <v>137</v>
      </c>
      <c r="F102">
        <v>3</v>
      </c>
      <c r="G102">
        <v>26064</v>
      </c>
      <c r="H102" s="23">
        <v>45027</v>
      </c>
      <c r="I102">
        <v>78192</v>
      </c>
      <c r="J102">
        <v>5212.8</v>
      </c>
    </row>
    <row r="103" spans="1:10" x14ac:dyDescent="0.3">
      <c r="A103">
        <v>202</v>
      </c>
      <c r="B103" t="s">
        <v>19</v>
      </c>
      <c r="C103" t="s">
        <v>33</v>
      </c>
      <c r="D103" t="s">
        <v>128</v>
      </c>
      <c r="E103" t="s">
        <v>141</v>
      </c>
      <c r="F103">
        <v>3</v>
      </c>
      <c r="G103">
        <v>47617</v>
      </c>
      <c r="H103" s="23">
        <v>45028</v>
      </c>
      <c r="I103">
        <v>142851</v>
      </c>
      <c r="J103">
        <v>9523.4</v>
      </c>
    </row>
    <row r="104" spans="1:10" x14ac:dyDescent="0.3">
      <c r="A104">
        <v>203</v>
      </c>
      <c r="B104" t="s">
        <v>127</v>
      </c>
      <c r="C104" t="s">
        <v>34</v>
      </c>
      <c r="D104" t="s">
        <v>128</v>
      </c>
      <c r="E104" t="s">
        <v>141</v>
      </c>
      <c r="F104">
        <v>4</v>
      </c>
      <c r="G104">
        <v>28935</v>
      </c>
      <c r="H104" s="23">
        <v>45029</v>
      </c>
      <c r="I104">
        <v>115740</v>
      </c>
      <c r="J104">
        <v>5787</v>
      </c>
    </row>
    <row r="105" spans="1:10" x14ac:dyDescent="0.3">
      <c r="A105">
        <v>204</v>
      </c>
      <c r="B105" t="s">
        <v>127</v>
      </c>
      <c r="C105" t="s">
        <v>33</v>
      </c>
      <c r="D105" t="s">
        <v>136</v>
      </c>
      <c r="E105" t="s">
        <v>145</v>
      </c>
      <c r="F105">
        <v>4</v>
      </c>
      <c r="G105">
        <v>38641</v>
      </c>
      <c r="H105" s="23">
        <v>45030</v>
      </c>
      <c r="I105">
        <v>154564</v>
      </c>
      <c r="J105">
        <v>7728.2</v>
      </c>
    </row>
    <row r="106" spans="1:10" x14ac:dyDescent="0.3">
      <c r="A106">
        <v>205</v>
      </c>
      <c r="B106" t="s">
        <v>132</v>
      </c>
      <c r="C106" t="s">
        <v>34</v>
      </c>
      <c r="D106" t="s">
        <v>136</v>
      </c>
      <c r="E106" t="s">
        <v>137</v>
      </c>
      <c r="F106">
        <v>5</v>
      </c>
      <c r="G106">
        <v>30711</v>
      </c>
      <c r="H106" s="23">
        <v>45031</v>
      </c>
      <c r="I106">
        <v>153555</v>
      </c>
      <c r="J106">
        <v>6142.2</v>
      </c>
    </row>
    <row r="107" spans="1:10" x14ac:dyDescent="0.3">
      <c r="A107">
        <v>206</v>
      </c>
      <c r="B107" t="s">
        <v>135</v>
      </c>
      <c r="C107" t="s">
        <v>34</v>
      </c>
      <c r="D107" t="s">
        <v>133</v>
      </c>
      <c r="E107" t="s">
        <v>129</v>
      </c>
      <c r="F107">
        <v>4</v>
      </c>
      <c r="G107">
        <v>5806</v>
      </c>
      <c r="H107" s="23">
        <v>45032</v>
      </c>
      <c r="I107">
        <v>23224</v>
      </c>
      <c r="J107">
        <v>1161.2</v>
      </c>
    </row>
    <row r="108" spans="1:10" x14ac:dyDescent="0.3">
      <c r="A108">
        <v>207</v>
      </c>
      <c r="B108" t="s">
        <v>139</v>
      </c>
      <c r="C108" t="s">
        <v>34</v>
      </c>
      <c r="D108" t="s">
        <v>133</v>
      </c>
      <c r="E108" t="s">
        <v>145</v>
      </c>
      <c r="F108">
        <v>8</v>
      </c>
      <c r="G108">
        <v>42360</v>
      </c>
      <c r="H108" s="23">
        <v>45033</v>
      </c>
      <c r="I108">
        <v>338880</v>
      </c>
      <c r="J108">
        <v>8472</v>
      </c>
    </row>
    <row r="109" spans="1:10" x14ac:dyDescent="0.3">
      <c r="A109">
        <v>208</v>
      </c>
      <c r="B109" t="s">
        <v>132</v>
      </c>
      <c r="C109" t="s">
        <v>33</v>
      </c>
      <c r="D109" t="s">
        <v>130</v>
      </c>
      <c r="E109" t="s">
        <v>129</v>
      </c>
      <c r="F109">
        <v>6</v>
      </c>
      <c r="G109">
        <v>13182</v>
      </c>
      <c r="H109" s="23">
        <v>45034</v>
      </c>
      <c r="I109">
        <v>79092</v>
      </c>
      <c r="J109">
        <v>2636.4</v>
      </c>
    </row>
    <row r="110" spans="1:10" x14ac:dyDescent="0.3">
      <c r="A110">
        <v>209</v>
      </c>
      <c r="B110" t="s">
        <v>142</v>
      </c>
      <c r="C110" t="s">
        <v>35</v>
      </c>
      <c r="D110" t="s">
        <v>133</v>
      </c>
      <c r="E110" t="s">
        <v>141</v>
      </c>
      <c r="F110">
        <v>6</v>
      </c>
      <c r="G110">
        <v>23297</v>
      </c>
      <c r="H110" s="23">
        <v>45035</v>
      </c>
      <c r="I110">
        <v>139782</v>
      </c>
      <c r="J110">
        <v>4659.3999999999996</v>
      </c>
    </row>
    <row r="111" spans="1:10" x14ac:dyDescent="0.3">
      <c r="A111">
        <v>210</v>
      </c>
      <c r="B111" t="s">
        <v>139</v>
      </c>
      <c r="C111" t="s">
        <v>34</v>
      </c>
      <c r="D111" t="s">
        <v>128</v>
      </c>
      <c r="E111" t="s">
        <v>141</v>
      </c>
      <c r="F111">
        <v>8</v>
      </c>
      <c r="G111">
        <v>20541</v>
      </c>
      <c r="H111" s="23">
        <v>45036</v>
      </c>
      <c r="I111">
        <v>164328</v>
      </c>
      <c r="J111">
        <v>4108.2</v>
      </c>
    </row>
    <row r="112" spans="1:10" x14ac:dyDescent="0.3">
      <c r="A112">
        <v>211</v>
      </c>
      <c r="B112" t="s">
        <v>19</v>
      </c>
      <c r="C112" t="s">
        <v>36</v>
      </c>
      <c r="D112" t="s">
        <v>128</v>
      </c>
      <c r="E112" t="s">
        <v>145</v>
      </c>
      <c r="F112">
        <v>7</v>
      </c>
      <c r="G112">
        <v>29921</v>
      </c>
      <c r="H112" s="23">
        <v>45037</v>
      </c>
      <c r="I112">
        <v>209447</v>
      </c>
      <c r="J112">
        <v>5984.2</v>
      </c>
    </row>
    <row r="113" spans="1:10" x14ac:dyDescent="0.3">
      <c r="A113">
        <v>212</v>
      </c>
      <c r="B113" t="s">
        <v>139</v>
      </c>
      <c r="C113" t="s">
        <v>33</v>
      </c>
      <c r="D113" t="s">
        <v>136</v>
      </c>
      <c r="E113" t="s">
        <v>145</v>
      </c>
      <c r="F113">
        <v>8</v>
      </c>
      <c r="G113">
        <v>17774</v>
      </c>
      <c r="H113" s="23">
        <v>45038</v>
      </c>
      <c r="I113">
        <v>142192</v>
      </c>
      <c r="J113">
        <v>3554.8</v>
      </c>
    </row>
    <row r="114" spans="1:10" x14ac:dyDescent="0.3">
      <c r="A114">
        <v>213</v>
      </c>
      <c r="B114" t="s">
        <v>135</v>
      </c>
      <c r="C114" t="s">
        <v>34</v>
      </c>
      <c r="D114" t="s">
        <v>133</v>
      </c>
      <c r="E114" t="s">
        <v>129</v>
      </c>
      <c r="F114">
        <v>2</v>
      </c>
      <c r="G114">
        <v>45813</v>
      </c>
      <c r="H114" s="23">
        <v>45039</v>
      </c>
      <c r="I114">
        <v>91626</v>
      </c>
      <c r="J114">
        <v>9162.6</v>
      </c>
    </row>
    <row r="115" spans="1:10" x14ac:dyDescent="0.3">
      <c r="A115">
        <v>214</v>
      </c>
      <c r="B115" t="s">
        <v>139</v>
      </c>
      <c r="C115" t="s">
        <v>34</v>
      </c>
      <c r="D115" t="s">
        <v>130</v>
      </c>
      <c r="E115" t="s">
        <v>131</v>
      </c>
      <c r="F115">
        <v>9</v>
      </c>
      <c r="G115">
        <v>38198</v>
      </c>
      <c r="H115" s="23">
        <v>45040</v>
      </c>
      <c r="I115">
        <v>343782</v>
      </c>
      <c r="J115">
        <v>7639.6</v>
      </c>
    </row>
    <row r="116" spans="1:10" x14ac:dyDescent="0.3">
      <c r="A116">
        <v>215</v>
      </c>
      <c r="B116" t="s">
        <v>19</v>
      </c>
      <c r="C116" t="s">
        <v>36</v>
      </c>
      <c r="D116" t="s">
        <v>128</v>
      </c>
      <c r="E116" t="s">
        <v>129</v>
      </c>
      <c r="F116">
        <v>1</v>
      </c>
      <c r="G116">
        <v>9820</v>
      </c>
      <c r="H116" s="23">
        <v>45041</v>
      </c>
      <c r="I116">
        <v>9820</v>
      </c>
      <c r="J116">
        <v>1964</v>
      </c>
    </row>
    <row r="117" spans="1:10" x14ac:dyDescent="0.3">
      <c r="A117">
        <v>216</v>
      </c>
      <c r="B117" t="s">
        <v>135</v>
      </c>
      <c r="C117" t="s">
        <v>35</v>
      </c>
      <c r="D117" t="s">
        <v>128</v>
      </c>
      <c r="E117" t="s">
        <v>145</v>
      </c>
      <c r="F117">
        <v>8</v>
      </c>
      <c r="G117">
        <v>25070</v>
      </c>
      <c r="H117" s="23">
        <v>45042</v>
      </c>
      <c r="I117">
        <v>200560</v>
      </c>
      <c r="J117">
        <v>5014</v>
      </c>
    </row>
    <row r="118" spans="1:10" x14ac:dyDescent="0.3">
      <c r="A118">
        <v>217</v>
      </c>
      <c r="B118" t="s">
        <v>138</v>
      </c>
      <c r="C118" t="s">
        <v>35</v>
      </c>
      <c r="D118" t="s">
        <v>130</v>
      </c>
      <c r="E118" t="s">
        <v>140</v>
      </c>
      <c r="F118">
        <v>4</v>
      </c>
      <c r="G118">
        <v>5232</v>
      </c>
      <c r="H118" s="23">
        <v>45043</v>
      </c>
      <c r="I118">
        <v>20928</v>
      </c>
      <c r="J118">
        <v>1046.4000000000001</v>
      </c>
    </row>
    <row r="119" spans="1:10" x14ac:dyDescent="0.3">
      <c r="A119">
        <v>218</v>
      </c>
      <c r="B119" t="s">
        <v>127</v>
      </c>
      <c r="C119" t="s">
        <v>35</v>
      </c>
      <c r="D119" t="s">
        <v>130</v>
      </c>
      <c r="E119" t="s">
        <v>145</v>
      </c>
      <c r="F119">
        <v>4</v>
      </c>
      <c r="G119">
        <v>12122</v>
      </c>
      <c r="H119" s="23">
        <v>45044</v>
      </c>
      <c r="I119">
        <v>48488</v>
      </c>
      <c r="J119">
        <v>2424.4</v>
      </c>
    </row>
    <row r="120" spans="1:10" x14ac:dyDescent="0.3">
      <c r="A120">
        <v>219</v>
      </c>
      <c r="B120" t="s">
        <v>127</v>
      </c>
      <c r="C120" t="s">
        <v>34</v>
      </c>
      <c r="D120" t="s">
        <v>128</v>
      </c>
      <c r="E120" t="s">
        <v>140</v>
      </c>
      <c r="F120">
        <v>5</v>
      </c>
      <c r="G120">
        <v>16023</v>
      </c>
      <c r="H120" s="23">
        <v>45045</v>
      </c>
      <c r="I120">
        <v>80115</v>
      </c>
      <c r="J120">
        <v>3204.6</v>
      </c>
    </row>
    <row r="121" spans="1:10" x14ac:dyDescent="0.3">
      <c r="A121">
        <v>220</v>
      </c>
      <c r="B121" t="s">
        <v>146</v>
      </c>
      <c r="C121" t="s">
        <v>34</v>
      </c>
      <c r="D121" t="s">
        <v>128</v>
      </c>
      <c r="E121" t="s">
        <v>143</v>
      </c>
      <c r="F121">
        <v>8</v>
      </c>
      <c r="G121">
        <v>9007</v>
      </c>
      <c r="H121" s="23">
        <v>45046</v>
      </c>
      <c r="I121">
        <v>72056</v>
      </c>
      <c r="J121">
        <v>1801.4</v>
      </c>
    </row>
    <row r="122" spans="1:10" x14ac:dyDescent="0.3">
      <c r="A122">
        <v>221</v>
      </c>
      <c r="B122" t="s">
        <v>138</v>
      </c>
      <c r="C122" t="s">
        <v>34</v>
      </c>
      <c r="D122" t="s">
        <v>130</v>
      </c>
      <c r="E122" t="s">
        <v>145</v>
      </c>
      <c r="F122">
        <v>5</v>
      </c>
      <c r="G122">
        <v>18905</v>
      </c>
      <c r="H122" s="23">
        <v>45047</v>
      </c>
      <c r="I122">
        <v>94525</v>
      </c>
      <c r="J122">
        <v>3781</v>
      </c>
    </row>
    <row r="123" spans="1:10" x14ac:dyDescent="0.3">
      <c r="A123">
        <v>222</v>
      </c>
      <c r="B123" t="s">
        <v>138</v>
      </c>
      <c r="C123" t="s">
        <v>33</v>
      </c>
      <c r="D123" t="s">
        <v>128</v>
      </c>
      <c r="E123" t="s">
        <v>143</v>
      </c>
      <c r="F123">
        <v>8</v>
      </c>
      <c r="G123">
        <v>42786</v>
      </c>
      <c r="H123" s="23">
        <v>45048</v>
      </c>
      <c r="I123">
        <v>342288</v>
      </c>
      <c r="J123">
        <v>8557.2000000000007</v>
      </c>
    </row>
    <row r="124" spans="1:10" x14ac:dyDescent="0.3">
      <c r="A124">
        <v>223</v>
      </c>
      <c r="B124" t="s">
        <v>139</v>
      </c>
      <c r="C124" t="s">
        <v>36</v>
      </c>
      <c r="D124" t="s">
        <v>136</v>
      </c>
      <c r="E124" t="s">
        <v>131</v>
      </c>
      <c r="F124">
        <v>1</v>
      </c>
      <c r="G124">
        <v>30398</v>
      </c>
      <c r="H124" s="23">
        <v>45049</v>
      </c>
      <c r="I124">
        <v>30398</v>
      </c>
      <c r="J124">
        <v>6079.6</v>
      </c>
    </row>
    <row r="125" spans="1:10" x14ac:dyDescent="0.3">
      <c r="A125">
        <v>224</v>
      </c>
      <c r="B125" t="s">
        <v>127</v>
      </c>
      <c r="C125" t="s">
        <v>34</v>
      </c>
      <c r="D125" t="s">
        <v>136</v>
      </c>
      <c r="E125" t="s">
        <v>129</v>
      </c>
      <c r="F125">
        <v>9</v>
      </c>
      <c r="G125">
        <v>35268</v>
      </c>
      <c r="H125" s="23">
        <v>45050</v>
      </c>
      <c r="I125">
        <v>317412</v>
      </c>
      <c r="J125">
        <v>7053.6</v>
      </c>
    </row>
    <row r="126" spans="1:10" x14ac:dyDescent="0.3">
      <c r="A126">
        <v>225</v>
      </c>
      <c r="B126" t="s">
        <v>19</v>
      </c>
      <c r="C126" t="s">
        <v>36</v>
      </c>
      <c r="D126" t="s">
        <v>130</v>
      </c>
      <c r="E126" t="s">
        <v>140</v>
      </c>
      <c r="F126">
        <v>6</v>
      </c>
      <c r="G126">
        <v>7737</v>
      </c>
      <c r="H126" s="23">
        <v>45051</v>
      </c>
      <c r="I126">
        <v>46422</v>
      </c>
      <c r="J126">
        <v>1547.4</v>
      </c>
    </row>
    <row r="127" spans="1:10" x14ac:dyDescent="0.3">
      <c r="A127">
        <v>226</v>
      </c>
      <c r="B127" t="s">
        <v>38</v>
      </c>
      <c r="C127" t="s">
        <v>36</v>
      </c>
      <c r="D127" t="s">
        <v>133</v>
      </c>
      <c r="E127" t="s">
        <v>129</v>
      </c>
      <c r="F127">
        <v>3</v>
      </c>
      <c r="G127">
        <v>37062</v>
      </c>
      <c r="H127" s="23">
        <v>45052</v>
      </c>
      <c r="I127">
        <v>111186</v>
      </c>
      <c r="J127">
        <v>7412.4</v>
      </c>
    </row>
    <row r="128" spans="1:10" x14ac:dyDescent="0.3">
      <c r="A128">
        <v>227</v>
      </c>
      <c r="B128" t="s">
        <v>38</v>
      </c>
      <c r="C128" t="s">
        <v>35</v>
      </c>
      <c r="D128" t="s">
        <v>130</v>
      </c>
      <c r="E128" t="s">
        <v>143</v>
      </c>
      <c r="F128">
        <v>8</v>
      </c>
      <c r="G128">
        <v>26510</v>
      </c>
      <c r="H128" s="23">
        <v>45053</v>
      </c>
      <c r="I128">
        <v>212080</v>
      </c>
      <c r="J128">
        <v>5302</v>
      </c>
    </row>
    <row r="129" spans="1:10" x14ac:dyDescent="0.3">
      <c r="A129">
        <v>228</v>
      </c>
      <c r="B129" t="s">
        <v>135</v>
      </c>
      <c r="C129" t="s">
        <v>33</v>
      </c>
      <c r="D129" t="s">
        <v>130</v>
      </c>
      <c r="E129" t="s">
        <v>140</v>
      </c>
      <c r="F129">
        <v>9</v>
      </c>
      <c r="G129">
        <v>20426</v>
      </c>
      <c r="H129" s="23">
        <v>45054</v>
      </c>
      <c r="I129">
        <v>183834</v>
      </c>
      <c r="J129">
        <v>4085.2</v>
      </c>
    </row>
    <row r="130" spans="1:10" x14ac:dyDescent="0.3">
      <c r="A130">
        <v>229</v>
      </c>
      <c r="B130" t="s">
        <v>127</v>
      </c>
      <c r="C130" t="s">
        <v>34</v>
      </c>
      <c r="D130" t="s">
        <v>133</v>
      </c>
      <c r="E130" t="s">
        <v>129</v>
      </c>
      <c r="F130">
        <v>6</v>
      </c>
      <c r="G130">
        <v>38265</v>
      </c>
      <c r="H130" s="23">
        <v>45055</v>
      </c>
      <c r="I130">
        <v>229590</v>
      </c>
      <c r="J130">
        <v>7653</v>
      </c>
    </row>
    <row r="131" spans="1:10" x14ac:dyDescent="0.3">
      <c r="A131">
        <v>230</v>
      </c>
      <c r="B131" t="s">
        <v>127</v>
      </c>
      <c r="C131" t="s">
        <v>35</v>
      </c>
      <c r="D131" t="s">
        <v>133</v>
      </c>
      <c r="E131" t="s">
        <v>145</v>
      </c>
      <c r="F131">
        <v>7</v>
      </c>
      <c r="G131">
        <v>18850</v>
      </c>
      <c r="H131" s="23">
        <v>45056</v>
      </c>
      <c r="I131">
        <v>131950</v>
      </c>
      <c r="J131">
        <v>3770</v>
      </c>
    </row>
    <row r="132" spans="1:10" x14ac:dyDescent="0.3">
      <c r="A132">
        <v>231</v>
      </c>
      <c r="B132" t="s">
        <v>38</v>
      </c>
      <c r="C132" t="s">
        <v>35</v>
      </c>
      <c r="D132" t="s">
        <v>133</v>
      </c>
      <c r="E132" t="s">
        <v>141</v>
      </c>
      <c r="F132">
        <v>1</v>
      </c>
      <c r="G132">
        <v>1614</v>
      </c>
      <c r="H132" s="23">
        <v>45057</v>
      </c>
      <c r="I132">
        <v>1614</v>
      </c>
      <c r="J132">
        <v>322.8</v>
      </c>
    </row>
    <row r="133" spans="1:10" x14ac:dyDescent="0.3">
      <c r="A133">
        <v>232</v>
      </c>
      <c r="B133" t="s">
        <v>127</v>
      </c>
      <c r="C133" t="s">
        <v>34</v>
      </c>
      <c r="D133" t="s">
        <v>136</v>
      </c>
      <c r="E133" t="s">
        <v>143</v>
      </c>
      <c r="F133">
        <v>5</v>
      </c>
      <c r="G133">
        <v>22776</v>
      </c>
      <c r="H133" s="23">
        <v>45058</v>
      </c>
      <c r="I133">
        <v>113880</v>
      </c>
      <c r="J133">
        <v>4555.2</v>
      </c>
    </row>
    <row r="134" spans="1:10" x14ac:dyDescent="0.3">
      <c r="A134">
        <v>233</v>
      </c>
      <c r="B134" t="s">
        <v>139</v>
      </c>
      <c r="C134" t="s">
        <v>36</v>
      </c>
      <c r="D134" t="s">
        <v>128</v>
      </c>
      <c r="E134" t="s">
        <v>129</v>
      </c>
      <c r="F134">
        <v>5</v>
      </c>
      <c r="G134">
        <v>25077</v>
      </c>
      <c r="H134" s="23">
        <v>45059</v>
      </c>
      <c r="I134">
        <v>125385</v>
      </c>
      <c r="J134">
        <v>5015.3999999999996</v>
      </c>
    </row>
    <row r="135" spans="1:10" x14ac:dyDescent="0.3">
      <c r="A135">
        <v>234</v>
      </c>
      <c r="B135" t="s">
        <v>142</v>
      </c>
      <c r="C135" t="s">
        <v>35</v>
      </c>
      <c r="D135" t="s">
        <v>136</v>
      </c>
      <c r="E135" t="s">
        <v>143</v>
      </c>
      <c r="F135">
        <v>4</v>
      </c>
      <c r="G135">
        <v>10374</v>
      </c>
      <c r="H135" s="23">
        <v>45060</v>
      </c>
      <c r="I135">
        <v>41496</v>
      </c>
      <c r="J135">
        <v>2074.8000000000002</v>
      </c>
    </row>
    <row r="136" spans="1:10" x14ac:dyDescent="0.3">
      <c r="A136">
        <v>235</v>
      </c>
      <c r="B136" t="s">
        <v>144</v>
      </c>
      <c r="C136" t="s">
        <v>36</v>
      </c>
      <c r="D136" t="s">
        <v>128</v>
      </c>
      <c r="E136" t="s">
        <v>134</v>
      </c>
      <c r="F136">
        <v>6</v>
      </c>
      <c r="G136">
        <v>36435</v>
      </c>
      <c r="H136" s="23">
        <v>45061</v>
      </c>
      <c r="I136">
        <v>218610</v>
      </c>
      <c r="J136">
        <v>7287</v>
      </c>
    </row>
    <row r="137" spans="1:10" x14ac:dyDescent="0.3">
      <c r="A137">
        <v>236</v>
      </c>
      <c r="B137" t="s">
        <v>138</v>
      </c>
      <c r="C137" t="s">
        <v>33</v>
      </c>
      <c r="D137" t="s">
        <v>136</v>
      </c>
      <c r="E137" t="s">
        <v>143</v>
      </c>
      <c r="F137">
        <v>7</v>
      </c>
      <c r="G137">
        <v>31907</v>
      </c>
      <c r="H137" s="23">
        <v>45062</v>
      </c>
      <c r="I137">
        <v>223349</v>
      </c>
      <c r="J137">
        <v>6381.4</v>
      </c>
    </row>
    <row r="138" spans="1:10" x14ac:dyDescent="0.3">
      <c r="A138">
        <v>237</v>
      </c>
      <c r="B138" t="s">
        <v>146</v>
      </c>
      <c r="C138" t="s">
        <v>36</v>
      </c>
      <c r="D138" t="s">
        <v>128</v>
      </c>
      <c r="E138" t="s">
        <v>140</v>
      </c>
      <c r="F138">
        <v>9</v>
      </c>
      <c r="G138">
        <v>14409</v>
      </c>
      <c r="H138" s="23">
        <v>45063</v>
      </c>
      <c r="I138">
        <v>129681</v>
      </c>
      <c r="J138">
        <v>2881.8</v>
      </c>
    </row>
    <row r="139" spans="1:10" x14ac:dyDescent="0.3">
      <c r="A139">
        <v>238</v>
      </c>
      <c r="B139" t="s">
        <v>135</v>
      </c>
      <c r="C139" t="s">
        <v>33</v>
      </c>
      <c r="D139" t="s">
        <v>136</v>
      </c>
      <c r="E139" t="s">
        <v>134</v>
      </c>
      <c r="F139">
        <v>1</v>
      </c>
      <c r="G139">
        <v>17514</v>
      </c>
      <c r="H139" s="23">
        <v>45064</v>
      </c>
      <c r="I139">
        <v>17514</v>
      </c>
      <c r="J139">
        <v>3502.8</v>
      </c>
    </row>
    <row r="140" spans="1:10" x14ac:dyDescent="0.3">
      <c r="A140">
        <v>239</v>
      </c>
      <c r="B140" t="s">
        <v>142</v>
      </c>
      <c r="C140" t="s">
        <v>36</v>
      </c>
      <c r="D140" t="s">
        <v>133</v>
      </c>
      <c r="E140" t="s">
        <v>137</v>
      </c>
      <c r="F140">
        <v>6</v>
      </c>
      <c r="G140">
        <v>30866</v>
      </c>
      <c r="H140" s="23">
        <v>45065</v>
      </c>
      <c r="I140">
        <v>185196</v>
      </c>
      <c r="J140">
        <v>6173.2</v>
      </c>
    </row>
    <row r="141" spans="1:10" x14ac:dyDescent="0.3">
      <c r="A141">
        <v>240</v>
      </c>
      <c r="B141" t="s">
        <v>38</v>
      </c>
      <c r="C141" t="s">
        <v>35</v>
      </c>
      <c r="D141" t="s">
        <v>130</v>
      </c>
      <c r="E141" t="s">
        <v>140</v>
      </c>
      <c r="F141">
        <v>7</v>
      </c>
      <c r="G141">
        <v>3983</v>
      </c>
      <c r="H141" s="23">
        <v>45066</v>
      </c>
      <c r="I141">
        <v>27881</v>
      </c>
      <c r="J141">
        <v>796.6</v>
      </c>
    </row>
    <row r="142" spans="1:10" x14ac:dyDescent="0.3">
      <c r="A142">
        <v>241</v>
      </c>
      <c r="B142" t="s">
        <v>138</v>
      </c>
      <c r="C142" t="s">
        <v>35</v>
      </c>
      <c r="D142" t="s">
        <v>136</v>
      </c>
      <c r="E142" t="s">
        <v>141</v>
      </c>
      <c r="F142">
        <v>3</v>
      </c>
      <c r="G142">
        <v>32705</v>
      </c>
      <c r="H142" s="23">
        <v>45067</v>
      </c>
      <c r="I142">
        <v>98115</v>
      </c>
      <c r="J142">
        <v>6541</v>
      </c>
    </row>
    <row r="143" spans="1:10" x14ac:dyDescent="0.3">
      <c r="A143">
        <v>242</v>
      </c>
      <c r="B143" t="s">
        <v>127</v>
      </c>
      <c r="C143" t="s">
        <v>33</v>
      </c>
      <c r="D143" t="s">
        <v>128</v>
      </c>
      <c r="E143" t="s">
        <v>134</v>
      </c>
      <c r="F143">
        <v>8</v>
      </c>
      <c r="G143">
        <v>21662</v>
      </c>
      <c r="H143" s="23">
        <v>45068</v>
      </c>
      <c r="I143">
        <v>173296</v>
      </c>
      <c r="J143">
        <v>4332.3999999999996</v>
      </c>
    </row>
    <row r="144" spans="1:10" x14ac:dyDescent="0.3">
      <c r="A144">
        <v>243</v>
      </c>
      <c r="B144" t="s">
        <v>146</v>
      </c>
      <c r="C144" t="s">
        <v>34</v>
      </c>
      <c r="D144" t="s">
        <v>133</v>
      </c>
      <c r="E144" t="s">
        <v>137</v>
      </c>
      <c r="F144">
        <v>5</v>
      </c>
      <c r="G144">
        <v>24510</v>
      </c>
      <c r="H144" s="23">
        <v>45069</v>
      </c>
      <c r="I144">
        <v>122550</v>
      </c>
      <c r="J144">
        <v>4902</v>
      </c>
    </row>
    <row r="145" spans="1:10" x14ac:dyDescent="0.3">
      <c r="A145">
        <v>244</v>
      </c>
      <c r="B145" t="s">
        <v>127</v>
      </c>
      <c r="C145" t="s">
        <v>33</v>
      </c>
      <c r="D145" t="s">
        <v>136</v>
      </c>
      <c r="E145" t="s">
        <v>145</v>
      </c>
      <c r="F145">
        <v>9</v>
      </c>
      <c r="G145">
        <v>13651</v>
      </c>
      <c r="H145" s="23">
        <v>45070</v>
      </c>
      <c r="I145">
        <v>122859</v>
      </c>
      <c r="J145">
        <v>2730.2</v>
      </c>
    </row>
    <row r="146" spans="1:10" x14ac:dyDescent="0.3">
      <c r="A146">
        <v>245</v>
      </c>
      <c r="B146" t="s">
        <v>19</v>
      </c>
      <c r="C146" t="s">
        <v>33</v>
      </c>
      <c r="D146" t="s">
        <v>136</v>
      </c>
      <c r="E146" t="s">
        <v>143</v>
      </c>
      <c r="F146">
        <v>5</v>
      </c>
      <c r="G146">
        <v>41998</v>
      </c>
      <c r="H146" s="23">
        <v>45071</v>
      </c>
      <c r="I146">
        <v>209990</v>
      </c>
      <c r="J146">
        <v>8399.6</v>
      </c>
    </row>
    <row r="147" spans="1:10" x14ac:dyDescent="0.3">
      <c r="A147">
        <v>246</v>
      </c>
      <c r="B147" t="s">
        <v>19</v>
      </c>
      <c r="C147" t="s">
        <v>36</v>
      </c>
      <c r="D147" t="s">
        <v>133</v>
      </c>
      <c r="E147" t="s">
        <v>129</v>
      </c>
      <c r="F147">
        <v>9</v>
      </c>
      <c r="G147">
        <v>29535</v>
      </c>
      <c r="H147" s="23">
        <v>45072</v>
      </c>
      <c r="I147">
        <v>265815</v>
      </c>
      <c r="J147">
        <v>5907</v>
      </c>
    </row>
    <row r="148" spans="1:10" x14ac:dyDescent="0.3">
      <c r="A148">
        <v>247</v>
      </c>
      <c r="B148" t="s">
        <v>146</v>
      </c>
      <c r="C148" t="s">
        <v>36</v>
      </c>
      <c r="D148" t="s">
        <v>136</v>
      </c>
      <c r="E148" t="s">
        <v>131</v>
      </c>
      <c r="F148">
        <v>4</v>
      </c>
      <c r="G148">
        <v>7640</v>
      </c>
      <c r="H148" s="23">
        <v>45073</v>
      </c>
      <c r="I148">
        <v>30560</v>
      </c>
      <c r="J148">
        <v>1528</v>
      </c>
    </row>
    <row r="149" spans="1:10" x14ac:dyDescent="0.3">
      <c r="A149">
        <v>248</v>
      </c>
      <c r="B149" t="s">
        <v>146</v>
      </c>
      <c r="C149" t="s">
        <v>33</v>
      </c>
      <c r="D149" t="s">
        <v>130</v>
      </c>
      <c r="E149" t="s">
        <v>143</v>
      </c>
      <c r="F149">
        <v>9</v>
      </c>
      <c r="G149">
        <v>45547</v>
      </c>
      <c r="H149" s="23">
        <v>45074</v>
      </c>
      <c r="I149">
        <v>409923</v>
      </c>
      <c r="J149">
        <v>9109.4</v>
      </c>
    </row>
    <row r="150" spans="1:10" x14ac:dyDescent="0.3">
      <c r="A150">
        <v>249</v>
      </c>
      <c r="B150" t="s">
        <v>38</v>
      </c>
      <c r="C150" t="s">
        <v>35</v>
      </c>
      <c r="D150" t="s">
        <v>136</v>
      </c>
      <c r="E150" t="s">
        <v>137</v>
      </c>
      <c r="F150">
        <v>5</v>
      </c>
      <c r="G150">
        <v>16317</v>
      </c>
      <c r="H150" s="23">
        <v>45075</v>
      </c>
      <c r="I150">
        <v>81585</v>
      </c>
      <c r="J150">
        <v>3263.4</v>
      </c>
    </row>
    <row r="151" spans="1:10" x14ac:dyDescent="0.3">
      <c r="A151">
        <v>250</v>
      </c>
      <c r="B151" t="s">
        <v>146</v>
      </c>
      <c r="C151" t="s">
        <v>36</v>
      </c>
      <c r="D151" t="s">
        <v>130</v>
      </c>
      <c r="E151" t="s">
        <v>143</v>
      </c>
      <c r="F151">
        <v>9</v>
      </c>
      <c r="G151">
        <v>8564</v>
      </c>
      <c r="H151" s="23">
        <v>45076</v>
      </c>
      <c r="I151">
        <v>77076</v>
      </c>
      <c r="J151">
        <v>1712.8</v>
      </c>
    </row>
    <row r="152" spans="1:10" x14ac:dyDescent="0.3">
      <c r="A152">
        <v>251</v>
      </c>
      <c r="B152" t="s">
        <v>139</v>
      </c>
      <c r="C152" t="s">
        <v>34</v>
      </c>
      <c r="D152" t="s">
        <v>130</v>
      </c>
      <c r="E152" t="s">
        <v>141</v>
      </c>
      <c r="F152">
        <v>3</v>
      </c>
      <c r="G152">
        <v>28345</v>
      </c>
      <c r="H152" s="23">
        <v>45077</v>
      </c>
      <c r="I152">
        <v>85035</v>
      </c>
      <c r="J152">
        <v>5669</v>
      </c>
    </row>
    <row r="153" spans="1:10" x14ac:dyDescent="0.3">
      <c r="A153">
        <v>252</v>
      </c>
      <c r="B153" t="s">
        <v>127</v>
      </c>
      <c r="C153" t="s">
        <v>36</v>
      </c>
      <c r="D153" t="s">
        <v>133</v>
      </c>
      <c r="E153" t="s">
        <v>145</v>
      </c>
      <c r="F153">
        <v>4</v>
      </c>
      <c r="G153">
        <v>49288</v>
      </c>
      <c r="H153" s="23">
        <v>45078</v>
      </c>
      <c r="I153">
        <v>197152</v>
      </c>
      <c r="J153">
        <v>9857.6</v>
      </c>
    </row>
    <row r="154" spans="1:10" x14ac:dyDescent="0.3">
      <c r="A154">
        <v>253</v>
      </c>
      <c r="B154" t="s">
        <v>142</v>
      </c>
      <c r="C154" t="s">
        <v>36</v>
      </c>
      <c r="D154" t="s">
        <v>136</v>
      </c>
      <c r="E154" t="s">
        <v>131</v>
      </c>
      <c r="F154">
        <v>9</v>
      </c>
      <c r="G154">
        <v>29687</v>
      </c>
      <c r="H154" s="23">
        <v>45079</v>
      </c>
      <c r="I154">
        <v>267183</v>
      </c>
      <c r="J154">
        <v>5937.4</v>
      </c>
    </row>
    <row r="155" spans="1:10" x14ac:dyDescent="0.3">
      <c r="A155">
        <v>254</v>
      </c>
      <c r="B155" t="s">
        <v>132</v>
      </c>
      <c r="C155" t="s">
        <v>34</v>
      </c>
      <c r="D155" t="s">
        <v>133</v>
      </c>
      <c r="E155" t="s">
        <v>134</v>
      </c>
      <c r="F155">
        <v>6</v>
      </c>
      <c r="G155">
        <v>14737</v>
      </c>
      <c r="H155" s="23">
        <v>45080</v>
      </c>
      <c r="I155">
        <v>88422</v>
      </c>
      <c r="J155">
        <v>2947.4</v>
      </c>
    </row>
    <row r="156" spans="1:10" x14ac:dyDescent="0.3">
      <c r="A156">
        <v>255</v>
      </c>
      <c r="B156" t="s">
        <v>146</v>
      </c>
      <c r="C156" t="s">
        <v>33</v>
      </c>
      <c r="D156" t="s">
        <v>136</v>
      </c>
      <c r="E156" t="s">
        <v>134</v>
      </c>
      <c r="F156">
        <v>2</v>
      </c>
      <c r="G156">
        <v>10323</v>
      </c>
      <c r="H156" s="23">
        <v>45081</v>
      </c>
      <c r="I156">
        <v>20646</v>
      </c>
      <c r="J156">
        <v>2064.6</v>
      </c>
    </row>
    <row r="157" spans="1:10" x14ac:dyDescent="0.3">
      <c r="A157">
        <v>256</v>
      </c>
      <c r="B157" t="s">
        <v>135</v>
      </c>
      <c r="C157" t="s">
        <v>34</v>
      </c>
      <c r="D157" t="s">
        <v>136</v>
      </c>
      <c r="E157" t="s">
        <v>134</v>
      </c>
      <c r="F157">
        <v>7</v>
      </c>
      <c r="G157">
        <v>16229</v>
      </c>
      <c r="H157" s="23">
        <v>45082</v>
      </c>
      <c r="I157">
        <v>113603</v>
      </c>
      <c r="J157">
        <v>3245.8</v>
      </c>
    </row>
    <row r="158" spans="1:10" x14ac:dyDescent="0.3">
      <c r="A158">
        <v>257</v>
      </c>
      <c r="B158" t="s">
        <v>19</v>
      </c>
      <c r="C158" t="s">
        <v>33</v>
      </c>
      <c r="D158" t="s">
        <v>128</v>
      </c>
      <c r="E158" t="s">
        <v>137</v>
      </c>
      <c r="F158">
        <v>2</v>
      </c>
      <c r="G158">
        <v>45481</v>
      </c>
      <c r="H158" s="23">
        <v>45083</v>
      </c>
      <c r="I158">
        <v>90962</v>
      </c>
      <c r="J158">
        <v>9096.2000000000007</v>
      </c>
    </row>
    <row r="159" spans="1:10" x14ac:dyDescent="0.3">
      <c r="A159">
        <v>258</v>
      </c>
      <c r="B159" t="s">
        <v>139</v>
      </c>
      <c r="C159" t="s">
        <v>33</v>
      </c>
      <c r="D159" t="s">
        <v>136</v>
      </c>
      <c r="E159" t="s">
        <v>140</v>
      </c>
      <c r="F159">
        <v>2</v>
      </c>
      <c r="G159">
        <v>9502</v>
      </c>
      <c r="H159" s="23">
        <v>45084</v>
      </c>
      <c r="I159">
        <v>19004</v>
      </c>
      <c r="J159">
        <v>1900.4</v>
      </c>
    </row>
    <row r="160" spans="1:10" x14ac:dyDescent="0.3">
      <c r="A160">
        <v>259</v>
      </c>
      <c r="B160" t="s">
        <v>138</v>
      </c>
      <c r="C160" t="s">
        <v>33</v>
      </c>
      <c r="D160" t="s">
        <v>133</v>
      </c>
      <c r="E160" t="s">
        <v>140</v>
      </c>
      <c r="F160">
        <v>1</v>
      </c>
      <c r="G160">
        <v>1545</v>
      </c>
      <c r="H160" s="23">
        <v>45085</v>
      </c>
      <c r="I160">
        <v>1545</v>
      </c>
      <c r="J160">
        <v>309</v>
      </c>
    </row>
    <row r="161" spans="1:10" x14ac:dyDescent="0.3">
      <c r="A161">
        <v>260</v>
      </c>
      <c r="B161" t="s">
        <v>132</v>
      </c>
      <c r="C161" t="s">
        <v>34</v>
      </c>
      <c r="D161" t="s">
        <v>130</v>
      </c>
      <c r="E161" t="s">
        <v>129</v>
      </c>
      <c r="F161">
        <v>3</v>
      </c>
      <c r="G161">
        <v>38114</v>
      </c>
      <c r="H161" s="23">
        <v>45086</v>
      </c>
      <c r="I161">
        <v>114342</v>
      </c>
      <c r="J161">
        <v>7622.8</v>
      </c>
    </row>
    <row r="162" spans="1:10" x14ac:dyDescent="0.3">
      <c r="A162">
        <v>261</v>
      </c>
      <c r="B162" t="s">
        <v>142</v>
      </c>
      <c r="C162" t="s">
        <v>33</v>
      </c>
      <c r="D162" t="s">
        <v>136</v>
      </c>
      <c r="E162" t="s">
        <v>131</v>
      </c>
      <c r="F162">
        <v>6</v>
      </c>
      <c r="G162">
        <v>30430</v>
      </c>
      <c r="H162" s="23">
        <v>45087</v>
      </c>
      <c r="I162">
        <v>182580</v>
      </c>
      <c r="J162">
        <v>6086</v>
      </c>
    </row>
    <row r="163" spans="1:10" x14ac:dyDescent="0.3">
      <c r="A163">
        <v>262</v>
      </c>
      <c r="B163" t="s">
        <v>132</v>
      </c>
      <c r="C163" t="s">
        <v>35</v>
      </c>
      <c r="D163" t="s">
        <v>128</v>
      </c>
      <c r="E163" t="s">
        <v>134</v>
      </c>
      <c r="F163">
        <v>8</v>
      </c>
      <c r="G163">
        <v>10996</v>
      </c>
      <c r="H163" s="23">
        <v>45088</v>
      </c>
      <c r="I163">
        <v>87968</v>
      </c>
      <c r="J163">
        <v>2199.1999999999998</v>
      </c>
    </row>
    <row r="164" spans="1:10" x14ac:dyDescent="0.3">
      <c r="A164">
        <v>263</v>
      </c>
      <c r="B164" t="s">
        <v>146</v>
      </c>
      <c r="C164" t="s">
        <v>34</v>
      </c>
      <c r="D164" t="s">
        <v>133</v>
      </c>
      <c r="E164" t="s">
        <v>140</v>
      </c>
      <c r="F164">
        <v>9</v>
      </c>
      <c r="G164">
        <v>28788</v>
      </c>
      <c r="H164" s="23">
        <v>45089</v>
      </c>
      <c r="I164">
        <v>259092</v>
      </c>
      <c r="J164">
        <v>5757.6</v>
      </c>
    </row>
    <row r="165" spans="1:10" x14ac:dyDescent="0.3">
      <c r="A165">
        <v>264</v>
      </c>
      <c r="B165" t="s">
        <v>38</v>
      </c>
      <c r="C165" t="s">
        <v>35</v>
      </c>
      <c r="D165" t="s">
        <v>136</v>
      </c>
      <c r="E165" t="s">
        <v>137</v>
      </c>
      <c r="F165">
        <v>7</v>
      </c>
      <c r="G165">
        <v>30969</v>
      </c>
      <c r="H165" s="23">
        <v>45090</v>
      </c>
      <c r="I165">
        <v>216783</v>
      </c>
      <c r="J165">
        <v>6193.8</v>
      </c>
    </row>
    <row r="166" spans="1:10" x14ac:dyDescent="0.3">
      <c r="A166">
        <v>265</v>
      </c>
      <c r="B166" t="s">
        <v>19</v>
      </c>
      <c r="C166" t="s">
        <v>33</v>
      </c>
      <c r="D166" t="s">
        <v>133</v>
      </c>
      <c r="E166" t="s">
        <v>129</v>
      </c>
      <c r="F166">
        <v>4</v>
      </c>
      <c r="G166">
        <v>49543</v>
      </c>
      <c r="H166" s="23">
        <v>45091</v>
      </c>
      <c r="I166">
        <v>198172</v>
      </c>
      <c r="J166">
        <v>9908.6</v>
      </c>
    </row>
    <row r="167" spans="1:10" x14ac:dyDescent="0.3">
      <c r="A167">
        <v>266</v>
      </c>
      <c r="B167" t="s">
        <v>19</v>
      </c>
      <c r="C167" t="s">
        <v>36</v>
      </c>
      <c r="D167" t="s">
        <v>128</v>
      </c>
      <c r="E167" t="s">
        <v>145</v>
      </c>
      <c r="F167">
        <v>6</v>
      </c>
      <c r="G167">
        <v>14919</v>
      </c>
      <c r="H167" s="23">
        <v>45092</v>
      </c>
      <c r="I167">
        <v>89514</v>
      </c>
      <c r="J167">
        <v>2983.8</v>
      </c>
    </row>
    <row r="168" spans="1:10" x14ac:dyDescent="0.3">
      <c r="A168">
        <v>267</v>
      </c>
      <c r="B168" t="s">
        <v>138</v>
      </c>
      <c r="C168" t="s">
        <v>33</v>
      </c>
      <c r="D168" t="s">
        <v>128</v>
      </c>
      <c r="E168" t="s">
        <v>129</v>
      </c>
      <c r="F168">
        <v>5</v>
      </c>
      <c r="G168">
        <v>4810</v>
      </c>
      <c r="H168" s="23">
        <v>45093</v>
      </c>
      <c r="I168">
        <v>24050</v>
      </c>
      <c r="J168">
        <v>962</v>
      </c>
    </row>
    <row r="169" spans="1:10" x14ac:dyDescent="0.3">
      <c r="A169">
        <v>268</v>
      </c>
      <c r="B169" t="s">
        <v>38</v>
      </c>
      <c r="C169" t="s">
        <v>35</v>
      </c>
      <c r="D169" t="s">
        <v>133</v>
      </c>
      <c r="E169" t="s">
        <v>140</v>
      </c>
      <c r="F169">
        <v>8</v>
      </c>
      <c r="G169">
        <v>31586</v>
      </c>
      <c r="H169" s="23">
        <v>45094</v>
      </c>
      <c r="I169">
        <v>252688</v>
      </c>
      <c r="J169">
        <v>6317.2</v>
      </c>
    </row>
    <row r="170" spans="1:10" x14ac:dyDescent="0.3">
      <c r="A170">
        <v>269</v>
      </c>
      <c r="B170" t="s">
        <v>127</v>
      </c>
      <c r="C170" t="s">
        <v>35</v>
      </c>
      <c r="D170" t="s">
        <v>136</v>
      </c>
      <c r="E170" t="s">
        <v>141</v>
      </c>
      <c r="F170">
        <v>1</v>
      </c>
      <c r="G170">
        <v>40974</v>
      </c>
      <c r="H170" s="23">
        <v>45095</v>
      </c>
      <c r="I170">
        <v>40974</v>
      </c>
      <c r="J170">
        <v>8194.7999999999993</v>
      </c>
    </row>
    <row r="171" spans="1:10" x14ac:dyDescent="0.3">
      <c r="A171">
        <v>270</v>
      </c>
      <c r="B171" t="s">
        <v>144</v>
      </c>
      <c r="C171" t="s">
        <v>34</v>
      </c>
      <c r="D171" t="s">
        <v>130</v>
      </c>
      <c r="E171" t="s">
        <v>137</v>
      </c>
      <c r="F171">
        <v>1</v>
      </c>
      <c r="G171">
        <v>42773</v>
      </c>
      <c r="H171" s="23">
        <v>45096</v>
      </c>
      <c r="I171">
        <v>42773</v>
      </c>
      <c r="J171">
        <v>8554.6</v>
      </c>
    </row>
    <row r="172" spans="1:10" x14ac:dyDescent="0.3">
      <c r="A172">
        <v>271</v>
      </c>
      <c r="B172" t="s">
        <v>139</v>
      </c>
      <c r="C172" t="s">
        <v>36</v>
      </c>
      <c r="D172" t="s">
        <v>128</v>
      </c>
      <c r="E172" t="s">
        <v>141</v>
      </c>
      <c r="F172">
        <v>6</v>
      </c>
      <c r="G172">
        <v>17371</v>
      </c>
      <c r="H172" s="23">
        <v>45097</v>
      </c>
      <c r="I172">
        <v>104226</v>
      </c>
      <c r="J172">
        <v>3474.2</v>
      </c>
    </row>
    <row r="173" spans="1:10" x14ac:dyDescent="0.3">
      <c r="A173">
        <v>272</v>
      </c>
      <c r="B173" t="s">
        <v>19</v>
      </c>
      <c r="C173" t="s">
        <v>34</v>
      </c>
      <c r="D173" t="s">
        <v>136</v>
      </c>
      <c r="E173" t="s">
        <v>134</v>
      </c>
      <c r="F173">
        <v>2</v>
      </c>
      <c r="G173">
        <v>46084</v>
      </c>
      <c r="H173" s="23">
        <v>45098</v>
      </c>
      <c r="I173">
        <v>92168</v>
      </c>
      <c r="J173">
        <v>9216.7999999999993</v>
      </c>
    </row>
    <row r="174" spans="1:10" x14ac:dyDescent="0.3">
      <c r="A174">
        <v>273</v>
      </c>
      <c r="B174" t="s">
        <v>135</v>
      </c>
      <c r="C174" t="s">
        <v>35</v>
      </c>
      <c r="D174" t="s">
        <v>136</v>
      </c>
      <c r="E174" t="s">
        <v>141</v>
      </c>
      <c r="F174">
        <v>5</v>
      </c>
      <c r="G174">
        <v>30629</v>
      </c>
      <c r="H174" s="23">
        <v>45099</v>
      </c>
      <c r="I174">
        <v>153145</v>
      </c>
      <c r="J174">
        <v>6125.8</v>
      </c>
    </row>
    <row r="175" spans="1:10" x14ac:dyDescent="0.3">
      <c r="A175">
        <v>274</v>
      </c>
      <c r="B175" t="s">
        <v>19</v>
      </c>
      <c r="C175" t="s">
        <v>33</v>
      </c>
      <c r="D175" t="s">
        <v>130</v>
      </c>
      <c r="E175" t="s">
        <v>134</v>
      </c>
      <c r="F175">
        <v>1</v>
      </c>
      <c r="G175">
        <v>9436</v>
      </c>
      <c r="H175" s="23">
        <v>45100</v>
      </c>
      <c r="I175">
        <v>9436</v>
      </c>
      <c r="J175">
        <v>1887.2</v>
      </c>
    </row>
    <row r="176" spans="1:10" x14ac:dyDescent="0.3">
      <c r="A176">
        <v>275</v>
      </c>
      <c r="B176" t="s">
        <v>132</v>
      </c>
      <c r="C176" t="s">
        <v>36</v>
      </c>
      <c r="D176" t="s">
        <v>128</v>
      </c>
      <c r="E176" t="s">
        <v>134</v>
      </c>
      <c r="F176">
        <v>7</v>
      </c>
      <c r="G176">
        <v>13984</v>
      </c>
      <c r="H176" s="23">
        <v>45101</v>
      </c>
      <c r="I176">
        <v>97888</v>
      </c>
      <c r="J176">
        <v>2796.8</v>
      </c>
    </row>
    <row r="177" spans="1:10" x14ac:dyDescent="0.3">
      <c r="A177">
        <v>276</v>
      </c>
      <c r="B177" t="s">
        <v>19</v>
      </c>
      <c r="C177" t="s">
        <v>33</v>
      </c>
      <c r="D177" t="s">
        <v>128</v>
      </c>
      <c r="E177" t="s">
        <v>140</v>
      </c>
      <c r="F177">
        <v>1</v>
      </c>
      <c r="G177">
        <v>34039</v>
      </c>
      <c r="H177" s="23">
        <v>45102</v>
      </c>
      <c r="I177">
        <v>34039</v>
      </c>
      <c r="J177">
        <v>6807.8</v>
      </c>
    </row>
    <row r="178" spans="1:10" x14ac:dyDescent="0.3">
      <c r="A178">
        <v>277</v>
      </c>
      <c r="B178" t="s">
        <v>19</v>
      </c>
      <c r="C178" t="s">
        <v>33</v>
      </c>
      <c r="D178" t="s">
        <v>136</v>
      </c>
      <c r="E178" t="s">
        <v>141</v>
      </c>
      <c r="F178">
        <v>4</v>
      </c>
      <c r="G178">
        <v>20895</v>
      </c>
      <c r="H178" s="23">
        <v>45103</v>
      </c>
      <c r="I178">
        <v>83580</v>
      </c>
      <c r="J178">
        <v>4179</v>
      </c>
    </row>
    <row r="179" spans="1:10" x14ac:dyDescent="0.3">
      <c r="A179">
        <v>278</v>
      </c>
      <c r="B179" t="s">
        <v>144</v>
      </c>
      <c r="C179" t="s">
        <v>36</v>
      </c>
      <c r="D179" t="s">
        <v>136</v>
      </c>
      <c r="E179" t="s">
        <v>134</v>
      </c>
      <c r="F179">
        <v>9</v>
      </c>
      <c r="G179">
        <v>19155</v>
      </c>
      <c r="H179" s="23">
        <v>45104</v>
      </c>
      <c r="I179">
        <v>172395</v>
      </c>
      <c r="J179">
        <v>3831</v>
      </c>
    </row>
    <row r="180" spans="1:10" x14ac:dyDescent="0.3">
      <c r="A180">
        <v>279</v>
      </c>
      <c r="B180" t="s">
        <v>144</v>
      </c>
      <c r="C180" t="s">
        <v>34</v>
      </c>
      <c r="D180" t="s">
        <v>130</v>
      </c>
      <c r="E180" t="s">
        <v>131</v>
      </c>
      <c r="F180">
        <v>1</v>
      </c>
      <c r="G180">
        <v>11616</v>
      </c>
      <c r="H180" s="23">
        <v>45105</v>
      </c>
      <c r="I180">
        <v>11616</v>
      </c>
      <c r="J180">
        <v>2323.1999999999998</v>
      </c>
    </row>
    <row r="181" spans="1:10" x14ac:dyDescent="0.3">
      <c r="A181">
        <v>280</v>
      </c>
      <c r="B181" t="s">
        <v>142</v>
      </c>
      <c r="C181" t="s">
        <v>33</v>
      </c>
      <c r="D181" t="s">
        <v>130</v>
      </c>
      <c r="E181" t="s">
        <v>145</v>
      </c>
      <c r="F181">
        <v>4</v>
      </c>
      <c r="G181">
        <v>38129</v>
      </c>
      <c r="H181" s="23">
        <v>45106</v>
      </c>
      <c r="I181">
        <v>152516</v>
      </c>
      <c r="J181">
        <v>7625.8</v>
      </c>
    </row>
    <row r="182" spans="1:10" x14ac:dyDescent="0.3">
      <c r="A182">
        <v>281</v>
      </c>
      <c r="B182" t="s">
        <v>127</v>
      </c>
      <c r="C182" t="s">
        <v>35</v>
      </c>
      <c r="D182" t="s">
        <v>128</v>
      </c>
      <c r="E182" t="s">
        <v>129</v>
      </c>
      <c r="F182">
        <v>6</v>
      </c>
      <c r="G182">
        <v>40837</v>
      </c>
      <c r="H182" s="23">
        <v>45107</v>
      </c>
      <c r="I182">
        <v>245022</v>
      </c>
      <c r="J182">
        <v>8167.4</v>
      </c>
    </row>
    <row r="183" spans="1:10" x14ac:dyDescent="0.3">
      <c r="A183">
        <v>282</v>
      </c>
      <c r="B183" t="s">
        <v>135</v>
      </c>
      <c r="C183" t="s">
        <v>33</v>
      </c>
      <c r="D183" t="s">
        <v>133</v>
      </c>
      <c r="E183" t="s">
        <v>129</v>
      </c>
      <c r="F183">
        <v>6</v>
      </c>
      <c r="G183">
        <v>25574</v>
      </c>
      <c r="H183" s="23">
        <v>45108</v>
      </c>
      <c r="I183">
        <v>153444</v>
      </c>
      <c r="J183">
        <v>5114.8</v>
      </c>
    </row>
    <row r="184" spans="1:10" x14ac:dyDescent="0.3">
      <c r="A184">
        <v>283</v>
      </c>
      <c r="B184" t="s">
        <v>19</v>
      </c>
      <c r="C184" t="s">
        <v>36</v>
      </c>
      <c r="D184" t="s">
        <v>128</v>
      </c>
      <c r="E184" t="s">
        <v>140</v>
      </c>
      <c r="F184">
        <v>8</v>
      </c>
      <c r="G184">
        <v>4430</v>
      </c>
      <c r="H184" s="23">
        <v>45109</v>
      </c>
      <c r="I184">
        <v>35440</v>
      </c>
      <c r="J184">
        <v>886</v>
      </c>
    </row>
    <row r="185" spans="1:10" x14ac:dyDescent="0.3">
      <c r="A185">
        <v>284</v>
      </c>
      <c r="B185" t="s">
        <v>19</v>
      </c>
      <c r="C185" t="s">
        <v>36</v>
      </c>
      <c r="D185" t="s">
        <v>136</v>
      </c>
      <c r="E185" t="s">
        <v>141</v>
      </c>
      <c r="F185">
        <v>1</v>
      </c>
      <c r="G185">
        <v>13676</v>
      </c>
      <c r="H185" s="23">
        <v>45110</v>
      </c>
      <c r="I185">
        <v>13676</v>
      </c>
      <c r="J185">
        <v>2735.2</v>
      </c>
    </row>
    <row r="186" spans="1:10" x14ac:dyDescent="0.3">
      <c r="A186">
        <v>285</v>
      </c>
      <c r="B186" t="s">
        <v>139</v>
      </c>
      <c r="C186" t="s">
        <v>36</v>
      </c>
      <c r="D186" t="s">
        <v>128</v>
      </c>
      <c r="E186" t="s">
        <v>141</v>
      </c>
      <c r="F186">
        <v>7</v>
      </c>
      <c r="G186">
        <v>11816</v>
      </c>
      <c r="H186" s="23">
        <v>45111</v>
      </c>
      <c r="I186">
        <v>82712</v>
      </c>
      <c r="J186">
        <v>2363.1999999999998</v>
      </c>
    </row>
    <row r="187" spans="1:10" x14ac:dyDescent="0.3">
      <c r="A187">
        <v>286</v>
      </c>
      <c r="B187" t="s">
        <v>144</v>
      </c>
      <c r="C187" t="s">
        <v>34</v>
      </c>
      <c r="D187" t="s">
        <v>133</v>
      </c>
      <c r="E187" t="s">
        <v>134</v>
      </c>
      <c r="F187">
        <v>1</v>
      </c>
      <c r="G187">
        <v>33733</v>
      </c>
      <c r="H187" s="23">
        <v>45112</v>
      </c>
      <c r="I187">
        <v>33733</v>
      </c>
      <c r="J187">
        <v>6746.6</v>
      </c>
    </row>
    <row r="188" spans="1:10" x14ac:dyDescent="0.3">
      <c r="A188">
        <v>287</v>
      </c>
      <c r="B188" t="s">
        <v>135</v>
      </c>
      <c r="C188" t="s">
        <v>33</v>
      </c>
      <c r="D188" t="s">
        <v>130</v>
      </c>
      <c r="E188" t="s">
        <v>137</v>
      </c>
      <c r="F188">
        <v>7</v>
      </c>
      <c r="G188">
        <v>21144</v>
      </c>
      <c r="H188" s="23">
        <v>45113</v>
      </c>
      <c r="I188">
        <v>148008</v>
      </c>
      <c r="J188">
        <v>4228.8</v>
      </c>
    </row>
    <row r="189" spans="1:10" x14ac:dyDescent="0.3">
      <c r="A189">
        <v>288</v>
      </c>
      <c r="B189" t="s">
        <v>138</v>
      </c>
      <c r="C189" t="s">
        <v>34</v>
      </c>
      <c r="D189" t="s">
        <v>133</v>
      </c>
      <c r="E189" t="s">
        <v>143</v>
      </c>
      <c r="F189">
        <v>3</v>
      </c>
      <c r="G189">
        <v>3050</v>
      </c>
      <c r="H189" s="23">
        <v>45114</v>
      </c>
      <c r="I189">
        <v>9150</v>
      </c>
      <c r="J189">
        <v>610</v>
      </c>
    </row>
    <row r="190" spans="1:10" x14ac:dyDescent="0.3">
      <c r="A190">
        <v>289</v>
      </c>
      <c r="B190" t="s">
        <v>142</v>
      </c>
      <c r="C190" t="s">
        <v>34</v>
      </c>
      <c r="D190" t="s">
        <v>133</v>
      </c>
      <c r="E190" t="s">
        <v>134</v>
      </c>
      <c r="F190">
        <v>8</v>
      </c>
      <c r="G190">
        <v>45460</v>
      </c>
      <c r="H190" s="23">
        <v>45115</v>
      </c>
      <c r="I190">
        <v>363680</v>
      </c>
      <c r="J190">
        <v>9092</v>
      </c>
    </row>
    <row r="191" spans="1:10" x14ac:dyDescent="0.3">
      <c r="A191">
        <v>290</v>
      </c>
      <c r="B191" t="s">
        <v>127</v>
      </c>
      <c r="C191" t="s">
        <v>36</v>
      </c>
      <c r="D191" t="s">
        <v>133</v>
      </c>
      <c r="E191" t="s">
        <v>145</v>
      </c>
      <c r="F191">
        <v>3</v>
      </c>
      <c r="G191">
        <v>34933</v>
      </c>
      <c r="H191" s="23">
        <v>45116</v>
      </c>
      <c r="I191">
        <v>104799</v>
      </c>
      <c r="J191">
        <v>6986.6</v>
      </c>
    </row>
    <row r="192" spans="1:10" x14ac:dyDescent="0.3">
      <c r="A192">
        <v>291</v>
      </c>
      <c r="B192" t="s">
        <v>38</v>
      </c>
      <c r="C192" t="s">
        <v>36</v>
      </c>
      <c r="D192" t="s">
        <v>130</v>
      </c>
      <c r="E192" t="s">
        <v>131</v>
      </c>
      <c r="F192">
        <v>1</v>
      </c>
      <c r="G192">
        <v>25951</v>
      </c>
      <c r="H192" s="23">
        <v>45117</v>
      </c>
      <c r="I192">
        <v>25951</v>
      </c>
      <c r="J192">
        <v>5190.2</v>
      </c>
    </row>
    <row r="193" spans="1:10" x14ac:dyDescent="0.3">
      <c r="A193">
        <v>292</v>
      </c>
      <c r="B193" t="s">
        <v>127</v>
      </c>
      <c r="C193" t="s">
        <v>34</v>
      </c>
      <c r="D193" t="s">
        <v>133</v>
      </c>
      <c r="E193" t="s">
        <v>129</v>
      </c>
      <c r="F193">
        <v>8</v>
      </c>
      <c r="G193">
        <v>33413</v>
      </c>
      <c r="H193" s="23">
        <v>45118</v>
      </c>
      <c r="I193">
        <v>267304</v>
      </c>
      <c r="J193">
        <v>6682.6</v>
      </c>
    </row>
    <row r="194" spans="1:10" x14ac:dyDescent="0.3">
      <c r="A194">
        <v>293</v>
      </c>
      <c r="B194" t="s">
        <v>132</v>
      </c>
      <c r="C194" t="s">
        <v>33</v>
      </c>
      <c r="D194" t="s">
        <v>133</v>
      </c>
      <c r="E194" t="s">
        <v>134</v>
      </c>
      <c r="F194">
        <v>3</v>
      </c>
      <c r="G194">
        <v>35801</v>
      </c>
      <c r="H194" s="23">
        <v>45119</v>
      </c>
      <c r="I194">
        <v>107403</v>
      </c>
      <c r="J194">
        <v>7160.2</v>
      </c>
    </row>
    <row r="195" spans="1:10" x14ac:dyDescent="0.3">
      <c r="A195">
        <v>294</v>
      </c>
      <c r="B195" t="s">
        <v>19</v>
      </c>
      <c r="C195" t="s">
        <v>35</v>
      </c>
      <c r="D195" t="s">
        <v>133</v>
      </c>
      <c r="E195" t="s">
        <v>143</v>
      </c>
      <c r="F195">
        <v>2</v>
      </c>
      <c r="G195">
        <v>33913</v>
      </c>
      <c r="H195" s="23">
        <v>45120</v>
      </c>
      <c r="I195">
        <v>67826</v>
      </c>
      <c r="J195">
        <v>6782.6</v>
      </c>
    </row>
    <row r="196" spans="1:10" x14ac:dyDescent="0.3">
      <c r="A196">
        <v>295</v>
      </c>
      <c r="B196" t="s">
        <v>142</v>
      </c>
      <c r="C196" t="s">
        <v>34</v>
      </c>
      <c r="D196" t="s">
        <v>136</v>
      </c>
      <c r="E196" t="s">
        <v>143</v>
      </c>
      <c r="F196">
        <v>1</v>
      </c>
      <c r="G196">
        <v>48037</v>
      </c>
      <c r="H196" s="23">
        <v>45121</v>
      </c>
      <c r="I196">
        <v>48037</v>
      </c>
      <c r="J196">
        <v>9607.4</v>
      </c>
    </row>
    <row r="197" spans="1:10" x14ac:dyDescent="0.3">
      <c r="A197">
        <v>296</v>
      </c>
      <c r="B197" t="s">
        <v>132</v>
      </c>
      <c r="C197" t="s">
        <v>33</v>
      </c>
      <c r="D197" t="s">
        <v>133</v>
      </c>
      <c r="E197" t="s">
        <v>134</v>
      </c>
      <c r="F197">
        <v>3</v>
      </c>
      <c r="G197">
        <v>41600</v>
      </c>
      <c r="H197" s="23">
        <v>45122</v>
      </c>
      <c r="I197">
        <v>124800</v>
      </c>
      <c r="J197">
        <v>8320</v>
      </c>
    </row>
    <row r="198" spans="1:10" x14ac:dyDescent="0.3">
      <c r="A198">
        <v>297</v>
      </c>
      <c r="B198" t="s">
        <v>135</v>
      </c>
      <c r="C198" t="s">
        <v>36</v>
      </c>
      <c r="D198" t="s">
        <v>130</v>
      </c>
      <c r="E198" t="s">
        <v>140</v>
      </c>
      <c r="F198">
        <v>2</v>
      </c>
      <c r="G198">
        <v>26280</v>
      </c>
      <c r="H198" s="23">
        <v>45123</v>
      </c>
      <c r="I198">
        <v>52560</v>
      </c>
      <c r="J198">
        <v>5256</v>
      </c>
    </row>
    <row r="199" spans="1:10" x14ac:dyDescent="0.3">
      <c r="A199">
        <v>298</v>
      </c>
      <c r="B199" t="s">
        <v>38</v>
      </c>
      <c r="C199" t="s">
        <v>36</v>
      </c>
      <c r="D199" t="s">
        <v>133</v>
      </c>
      <c r="E199" t="s">
        <v>129</v>
      </c>
      <c r="F199">
        <v>2</v>
      </c>
      <c r="G199">
        <v>25557</v>
      </c>
      <c r="H199" s="23">
        <v>45124</v>
      </c>
      <c r="I199">
        <v>51114</v>
      </c>
      <c r="J199">
        <v>5111.3999999999996</v>
      </c>
    </row>
    <row r="200" spans="1:10" x14ac:dyDescent="0.3">
      <c r="A200">
        <v>299</v>
      </c>
      <c r="B200" t="s">
        <v>144</v>
      </c>
      <c r="C200" t="s">
        <v>33</v>
      </c>
      <c r="D200" t="s">
        <v>133</v>
      </c>
      <c r="E200" t="s">
        <v>140</v>
      </c>
      <c r="F200">
        <v>6</v>
      </c>
      <c r="G200">
        <v>48054</v>
      </c>
      <c r="H200" s="23">
        <v>45125</v>
      </c>
      <c r="I200">
        <v>288324</v>
      </c>
      <c r="J200">
        <v>9610.7999999999993</v>
      </c>
    </row>
    <row r="201" spans="1:10" x14ac:dyDescent="0.3">
      <c r="A201">
        <v>300</v>
      </c>
      <c r="B201" t="s">
        <v>142</v>
      </c>
      <c r="C201" t="s">
        <v>35</v>
      </c>
      <c r="D201" t="s">
        <v>130</v>
      </c>
      <c r="E201" t="s">
        <v>131</v>
      </c>
      <c r="F201">
        <v>1</v>
      </c>
      <c r="G201">
        <v>36400</v>
      </c>
      <c r="H201" s="23">
        <v>45126</v>
      </c>
      <c r="I201">
        <v>36400</v>
      </c>
      <c r="J201">
        <v>7280</v>
      </c>
    </row>
    <row r="202" spans="1:10" x14ac:dyDescent="0.3">
      <c r="A202">
        <v>301</v>
      </c>
      <c r="B202" t="s">
        <v>142</v>
      </c>
      <c r="C202" t="s">
        <v>36</v>
      </c>
      <c r="D202" t="s">
        <v>133</v>
      </c>
      <c r="E202" t="s">
        <v>143</v>
      </c>
      <c r="F202">
        <v>2</v>
      </c>
      <c r="G202">
        <v>5494</v>
      </c>
      <c r="H202" s="23">
        <v>45127</v>
      </c>
      <c r="I202">
        <v>10988</v>
      </c>
      <c r="J202">
        <v>1098.8</v>
      </c>
    </row>
    <row r="203" spans="1:10" x14ac:dyDescent="0.3">
      <c r="A203">
        <v>302</v>
      </c>
      <c r="B203" t="s">
        <v>19</v>
      </c>
      <c r="C203" t="s">
        <v>36</v>
      </c>
      <c r="D203" t="s">
        <v>130</v>
      </c>
      <c r="E203" t="s">
        <v>143</v>
      </c>
      <c r="F203">
        <v>6</v>
      </c>
      <c r="G203">
        <v>16152</v>
      </c>
      <c r="H203" s="23">
        <v>45128</v>
      </c>
      <c r="I203">
        <v>96912</v>
      </c>
      <c r="J203">
        <v>3230.4</v>
      </c>
    </row>
    <row r="204" spans="1:10" x14ac:dyDescent="0.3">
      <c r="A204">
        <v>303</v>
      </c>
      <c r="B204" t="s">
        <v>146</v>
      </c>
      <c r="C204" t="s">
        <v>36</v>
      </c>
      <c r="D204" t="s">
        <v>133</v>
      </c>
      <c r="E204" t="s">
        <v>145</v>
      </c>
      <c r="F204">
        <v>3</v>
      </c>
      <c r="G204">
        <v>24895</v>
      </c>
      <c r="H204" s="23">
        <v>45129</v>
      </c>
      <c r="I204">
        <v>74685</v>
      </c>
      <c r="J204">
        <v>4979</v>
      </c>
    </row>
    <row r="205" spans="1:10" x14ac:dyDescent="0.3">
      <c r="A205">
        <v>304</v>
      </c>
      <c r="B205" t="s">
        <v>142</v>
      </c>
      <c r="C205" t="s">
        <v>33</v>
      </c>
      <c r="D205" t="s">
        <v>130</v>
      </c>
      <c r="E205" t="s">
        <v>131</v>
      </c>
      <c r="F205">
        <v>4</v>
      </c>
      <c r="G205">
        <v>10155</v>
      </c>
      <c r="H205" s="23">
        <v>45130</v>
      </c>
      <c r="I205">
        <v>40620</v>
      </c>
      <c r="J205">
        <v>2031</v>
      </c>
    </row>
    <row r="206" spans="1:10" x14ac:dyDescent="0.3">
      <c r="A206">
        <v>305</v>
      </c>
      <c r="B206" t="s">
        <v>139</v>
      </c>
      <c r="C206" t="s">
        <v>34</v>
      </c>
      <c r="D206" t="s">
        <v>133</v>
      </c>
      <c r="E206" t="s">
        <v>143</v>
      </c>
      <c r="F206">
        <v>1</v>
      </c>
      <c r="G206">
        <v>32883</v>
      </c>
      <c r="H206" s="23">
        <v>45131</v>
      </c>
      <c r="I206">
        <v>32883</v>
      </c>
      <c r="J206">
        <v>6576.6</v>
      </c>
    </row>
    <row r="207" spans="1:10" x14ac:dyDescent="0.3">
      <c r="A207">
        <v>306</v>
      </c>
      <c r="B207" t="s">
        <v>38</v>
      </c>
      <c r="C207" t="s">
        <v>36</v>
      </c>
      <c r="D207" t="s">
        <v>133</v>
      </c>
      <c r="E207" t="s">
        <v>131</v>
      </c>
      <c r="F207">
        <v>8</v>
      </c>
      <c r="G207">
        <v>44194</v>
      </c>
      <c r="H207" s="23">
        <v>45132</v>
      </c>
      <c r="I207">
        <v>353552</v>
      </c>
      <c r="J207">
        <v>8838.7999999999993</v>
      </c>
    </row>
    <row r="208" spans="1:10" x14ac:dyDescent="0.3">
      <c r="A208">
        <v>307</v>
      </c>
      <c r="B208" t="s">
        <v>38</v>
      </c>
      <c r="C208" t="s">
        <v>34</v>
      </c>
      <c r="D208" t="s">
        <v>136</v>
      </c>
      <c r="E208" t="s">
        <v>129</v>
      </c>
      <c r="F208">
        <v>7</v>
      </c>
      <c r="G208">
        <v>44001</v>
      </c>
      <c r="H208" s="23">
        <v>45133</v>
      </c>
      <c r="I208">
        <v>308007</v>
      </c>
      <c r="J208">
        <v>8800.2000000000007</v>
      </c>
    </row>
    <row r="209" spans="1:10" x14ac:dyDescent="0.3">
      <c r="A209">
        <v>308</v>
      </c>
      <c r="B209" t="s">
        <v>139</v>
      </c>
      <c r="C209" t="s">
        <v>35</v>
      </c>
      <c r="D209" t="s">
        <v>136</v>
      </c>
      <c r="E209" t="s">
        <v>141</v>
      </c>
      <c r="F209">
        <v>7</v>
      </c>
      <c r="G209">
        <v>2828</v>
      </c>
      <c r="H209" s="23">
        <v>45134</v>
      </c>
      <c r="I209">
        <v>19796</v>
      </c>
      <c r="J209">
        <v>565.6</v>
      </c>
    </row>
    <row r="210" spans="1:10" x14ac:dyDescent="0.3">
      <c r="A210">
        <v>309</v>
      </c>
      <c r="B210" t="s">
        <v>138</v>
      </c>
      <c r="C210" t="s">
        <v>36</v>
      </c>
      <c r="D210" t="s">
        <v>133</v>
      </c>
      <c r="E210" t="s">
        <v>143</v>
      </c>
      <c r="F210">
        <v>3</v>
      </c>
      <c r="G210">
        <v>46028</v>
      </c>
      <c r="H210" s="23">
        <v>45135</v>
      </c>
      <c r="I210">
        <v>138084</v>
      </c>
      <c r="J210">
        <v>9205.6</v>
      </c>
    </row>
    <row r="211" spans="1:10" x14ac:dyDescent="0.3">
      <c r="A211">
        <v>310</v>
      </c>
      <c r="B211" t="s">
        <v>139</v>
      </c>
      <c r="C211" t="s">
        <v>36</v>
      </c>
      <c r="D211" t="s">
        <v>133</v>
      </c>
      <c r="E211" t="s">
        <v>145</v>
      </c>
      <c r="F211">
        <v>3</v>
      </c>
      <c r="G211">
        <v>42898</v>
      </c>
      <c r="H211" s="23">
        <v>45136</v>
      </c>
      <c r="I211">
        <v>128694</v>
      </c>
      <c r="J211">
        <v>8579.6</v>
      </c>
    </row>
    <row r="212" spans="1:10" x14ac:dyDescent="0.3">
      <c r="A212">
        <v>311</v>
      </c>
      <c r="B212" t="s">
        <v>139</v>
      </c>
      <c r="C212" t="s">
        <v>35</v>
      </c>
      <c r="D212" t="s">
        <v>128</v>
      </c>
      <c r="E212" t="s">
        <v>129</v>
      </c>
      <c r="F212">
        <v>2</v>
      </c>
      <c r="G212">
        <v>33123</v>
      </c>
      <c r="H212" s="23">
        <v>45137</v>
      </c>
      <c r="I212">
        <v>66246</v>
      </c>
      <c r="J212">
        <v>6624.6</v>
      </c>
    </row>
    <row r="213" spans="1:10" x14ac:dyDescent="0.3">
      <c r="A213">
        <v>312</v>
      </c>
      <c r="B213" t="s">
        <v>38</v>
      </c>
      <c r="C213" t="s">
        <v>36</v>
      </c>
      <c r="D213" t="s">
        <v>130</v>
      </c>
      <c r="E213" t="s">
        <v>134</v>
      </c>
      <c r="F213">
        <v>1</v>
      </c>
      <c r="G213">
        <v>38573</v>
      </c>
      <c r="H213" s="23">
        <v>45138</v>
      </c>
      <c r="I213">
        <v>38573</v>
      </c>
      <c r="J213">
        <v>7714.6</v>
      </c>
    </row>
    <row r="214" spans="1:10" x14ac:dyDescent="0.3">
      <c r="A214">
        <v>313</v>
      </c>
      <c r="B214" t="s">
        <v>127</v>
      </c>
      <c r="C214" t="s">
        <v>34</v>
      </c>
      <c r="D214" t="s">
        <v>128</v>
      </c>
      <c r="E214" t="s">
        <v>131</v>
      </c>
      <c r="F214">
        <v>7</v>
      </c>
      <c r="G214">
        <v>1806</v>
      </c>
      <c r="H214" s="23">
        <v>45139</v>
      </c>
      <c r="I214">
        <v>12642</v>
      </c>
      <c r="J214">
        <v>361.2</v>
      </c>
    </row>
    <row r="215" spans="1:10" x14ac:dyDescent="0.3">
      <c r="A215">
        <v>314</v>
      </c>
      <c r="B215" t="s">
        <v>38</v>
      </c>
      <c r="C215" t="s">
        <v>33</v>
      </c>
      <c r="D215" t="s">
        <v>136</v>
      </c>
      <c r="E215" t="s">
        <v>134</v>
      </c>
      <c r="F215">
        <v>7</v>
      </c>
      <c r="G215">
        <v>41970</v>
      </c>
      <c r="H215" s="23">
        <v>45140</v>
      </c>
      <c r="I215">
        <v>293790</v>
      </c>
      <c r="J215">
        <v>8394</v>
      </c>
    </row>
    <row r="216" spans="1:10" x14ac:dyDescent="0.3">
      <c r="A216">
        <v>315</v>
      </c>
      <c r="B216" t="s">
        <v>146</v>
      </c>
      <c r="C216" t="s">
        <v>34</v>
      </c>
      <c r="D216" t="s">
        <v>136</v>
      </c>
      <c r="E216" t="s">
        <v>140</v>
      </c>
      <c r="F216">
        <v>2</v>
      </c>
      <c r="G216">
        <v>30757</v>
      </c>
      <c r="H216" s="23">
        <v>45141</v>
      </c>
      <c r="I216">
        <v>61514</v>
      </c>
      <c r="J216">
        <v>6151.4</v>
      </c>
    </row>
    <row r="217" spans="1:10" x14ac:dyDescent="0.3">
      <c r="A217">
        <v>316</v>
      </c>
      <c r="B217" t="s">
        <v>19</v>
      </c>
      <c r="C217" t="s">
        <v>33</v>
      </c>
      <c r="D217" t="s">
        <v>136</v>
      </c>
      <c r="E217" t="s">
        <v>129</v>
      </c>
      <c r="F217">
        <v>7</v>
      </c>
      <c r="G217">
        <v>35636</v>
      </c>
      <c r="H217" s="23">
        <v>45142</v>
      </c>
      <c r="I217">
        <v>249452</v>
      </c>
      <c r="J217">
        <v>7127.2</v>
      </c>
    </row>
    <row r="218" spans="1:10" x14ac:dyDescent="0.3">
      <c r="A218">
        <v>317</v>
      </c>
      <c r="B218" t="s">
        <v>132</v>
      </c>
      <c r="C218" t="s">
        <v>33</v>
      </c>
      <c r="D218" t="s">
        <v>136</v>
      </c>
      <c r="E218" t="s">
        <v>134</v>
      </c>
      <c r="F218">
        <v>8</v>
      </c>
      <c r="G218">
        <v>15561</v>
      </c>
      <c r="H218" s="23">
        <v>45143</v>
      </c>
      <c r="I218">
        <v>124488</v>
      </c>
      <c r="J218">
        <v>3112.2</v>
      </c>
    </row>
    <row r="219" spans="1:10" x14ac:dyDescent="0.3">
      <c r="A219">
        <v>318</v>
      </c>
      <c r="B219" t="s">
        <v>127</v>
      </c>
      <c r="C219" t="s">
        <v>34</v>
      </c>
      <c r="D219" t="s">
        <v>133</v>
      </c>
      <c r="E219" t="s">
        <v>137</v>
      </c>
      <c r="F219">
        <v>1</v>
      </c>
      <c r="G219">
        <v>49280</v>
      </c>
      <c r="H219" s="23">
        <v>45144</v>
      </c>
      <c r="I219">
        <v>49280</v>
      </c>
      <c r="J219">
        <v>9856</v>
      </c>
    </row>
    <row r="220" spans="1:10" x14ac:dyDescent="0.3">
      <c r="A220">
        <v>319</v>
      </c>
      <c r="B220" t="s">
        <v>144</v>
      </c>
      <c r="C220" t="s">
        <v>34</v>
      </c>
      <c r="D220" t="s">
        <v>136</v>
      </c>
      <c r="E220" t="s">
        <v>137</v>
      </c>
      <c r="F220">
        <v>9</v>
      </c>
      <c r="G220">
        <v>25262</v>
      </c>
      <c r="H220" s="23">
        <v>45145</v>
      </c>
      <c r="I220">
        <v>227358</v>
      </c>
      <c r="J220">
        <v>5052.3999999999996</v>
      </c>
    </row>
    <row r="221" spans="1:10" x14ac:dyDescent="0.3">
      <c r="A221">
        <v>320</v>
      </c>
      <c r="B221" t="s">
        <v>132</v>
      </c>
      <c r="C221" t="s">
        <v>34</v>
      </c>
      <c r="D221" t="s">
        <v>133</v>
      </c>
      <c r="E221" t="s">
        <v>143</v>
      </c>
      <c r="F221">
        <v>7</v>
      </c>
      <c r="G221">
        <v>15899</v>
      </c>
      <c r="H221" s="23">
        <v>45146</v>
      </c>
      <c r="I221">
        <v>111293</v>
      </c>
      <c r="J221">
        <v>3179.8</v>
      </c>
    </row>
    <row r="222" spans="1:10" x14ac:dyDescent="0.3">
      <c r="A222">
        <v>321</v>
      </c>
      <c r="B222" t="s">
        <v>19</v>
      </c>
      <c r="C222" t="s">
        <v>34</v>
      </c>
      <c r="D222" t="s">
        <v>133</v>
      </c>
      <c r="E222" t="s">
        <v>131</v>
      </c>
      <c r="F222">
        <v>3</v>
      </c>
      <c r="G222">
        <v>49988</v>
      </c>
      <c r="H222" s="23">
        <v>45147</v>
      </c>
      <c r="I222">
        <v>149964</v>
      </c>
      <c r="J222">
        <v>9997.6</v>
      </c>
    </row>
    <row r="223" spans="1:10" x14ac:dyDescent="0.3">
      <c r="A223">
        <v>322</v>
      </c>
      <c r="B223" t="s">
        <v>146</v>
      </c>
      <c r="C223" t="s">
        <v>35</v>
      </c>
      <c r="D223" t="s">
        <v>136</v>
      </c>
      <c r="E223" t="s">
        <v>141</v>
      </c>
      <c r="F223">
        <v>8</v>
      </c>
      <c r="G223">
        <v>16934</v>
      </c>
      <c r="H223" s="23">
        <v>45148</v>
      </c>
      <c r="I223">
        <v>135472</v>
      </c>
      <c r="J223">
        <v>3386.8</v>
      </c>
    </row>
    <row r="224" spans="1:10" x14ac:dyDescent="0.3">
      <c r="A224">
        <v>323</v>
      </c>
      <c r="B224" t="s">
        <v>146</v>
      </c>
      <c r="C224" t="s">
        <v>36</v>
      </c>
      <c r="D224" t="s">
        <v>136</v>
      </c>
      <c r="E224" t="s">
        <v>129</v>
      </c>
      <c r="F224">
        <v>7</v>
      </c>
      <c r="G224">
        <v>39197</v>
      </c>
      <c r="H224" s="23">
        <v>45149</v>
      </c>
      <c r="I224">
        <v>274379</v>
      </c>
      <c r="J224">
        <v>7839.4</v>
      </c>
    </row>
    <row r="225" spans="1:10" x14ac:dyDescent="0.3">
      <c r="A225">
        <v>324</v>
      </c>
      <c r="B225" t="s">
        <v>144</v>
      </c>
      <c r="C225" t="s">
        <v>33</v>
      </c>
      <c r="D225" t="s">
        <v>130</v>
      </c>
      <c r="E225" t="s">
        <v>143</v>
      </c>
      <c r="F225">
        <v>8</v>
      </c>
      <c r="G225">
        <v>42844</v>
      </c>
      <c r="H225" s="23">
        <v>45150</v>
      </c>
      <c r="I225">
        <v>342752</v>
      </c>
      <c r="J225">
        <v>8568.7999999999993</v>
      </c>
    </row>
    <row r="226" spans="1:10" x14ac:dyDescent="0.3">
      <c r="A226">
        <v>325</v>
      </c>
      <c r="B226" t="s">
        <v>127</v>
      </c>
      <c r="C226" t="s">
        <v>34</v>
      </c>
      <c r="D226" t="s">
        <v>128</v>
      </c>
      <c r="E226" t="s">
        <v>145</v>
      </c>
      <c r="F226">
        <v>6</v>
      </c>
      <c r="G226">
        <v>37332</v>
      </c>
      <c r="H226" s="23">
        <v>45151</v>
      </c>
      <c r="I226">
        <v>223992</v>
      </c>
      <c r="J226">
        <v>7466.4</v>
      </c>
    </row>
    <row r="227" spans="1:10" x14ac:dyDescent="0.3">
      <c r="A227">
        <v>326</v>
      </c>
      <c r="B227" t="s">
        <v>138</v>
      </c>
      <c r="C227" t="s">
        <v>34</v>
      </c>
      <c r="D227" t="s">
        <v>136</v>
      </c>
      <c r="E227" t="s">
        <v>140</v>
      </c>
      <c r="F227">
        <v>9</v>
      </c>
      <c r="G227">
        <v>35157</v>
      </c>
      <c r="H227" s="23">
        <v>45152</v>
      </c>
      <c r="I227">
        <v>316413</v>
      </c>
      <c r="J227">
        <v>7031.4</v>
      </c>
    </row>
    <row r="228" spans="1:10" x14ac:dyDescent="0.3">
      <c r="A228">
        <v>327</v>
      </c>
      <c r="B228" t="s">
        <v>139</v>
      </c>
      <c r="C228" t="s">
        <v>34</v>
      </c>
      <c r="D228" t="s">
        <v>130</v>
      </c>
      <c r="E228" t="s">
        <v>131</v>
      </c>
      <c r="F228">
        <v>5</v>
      </c>
      <c r="G228">
        <v>12593</v>
      </c>
      <c r="H228" s="23">
        <v>45153</v>
      </c>
      <c r="I228">
        <v>62965</v>
      </c>
      <c r="J228">
        <v>2518.6</v>
      </c>
    </row>
    <row r="229" spans="1:10" x14ac:dyDescent="0.3">
      <c r="A229">
        <v>328</v>
      </c>
      <c r="B229" t="s">
        <v>127</v>
      </c>
      <c r="C229" t="s">
        <v>35</v>
      </c>
      <c r="D229" t="s">
        <v>130</v>
      </c>
      <c r="E229" t="s">
        <v>129</v>
      </c>
      <c r="F229">
        <v>3</v>
      </c>
      <c r="G229">
        <v>41042</v>
      </c>
      <c r="H229" s="23">
        <v>45154</v>
      </c>
      <c r="I229">
        <v>123126</v>
      </c>
      <c r="J229">
        <v>8208.4</v>
      </c>
    </row>
    <row r="230" spans="1:10" x14ac:dyDescent="0.3">
      <c r="A230">
        <v>329</v>
      </c>
      <c r="B230" t="s">
        <v>138</v>
      </c>
      <c r="C230" t="s">
        <v>34</v>
      </c>
      <c r="D230" t="s">
        <v>128</v>
      </c>
      <c r="E230" t="s">
        <v>137</v>
      </c>
      <c r="F230">
        <v>3</v>
      </c>
      <c r="G230">
        <v>18320</v>
      </c>
      <c r="H230" s="23">
        <v>45155</v>
      </c>
      <c r="I230">
        <v>54960</v>
      </c>
      <c r="J230">
        <v>3664</v>
      </c>
    </row>
    <row r="231" spans="1:10" x14ac:dyDescent="0.3">
      <c r="A231">
        <v>330</v>
      </c>
      <c r="B231" t="s">
        <v>146</v>
      </c>
      <c r="C231" t="s">
        <v>34</v>
      </c>
      <c r="D231" t="s">
        <v>133</v>
      </c>
      <c r="E231" t="s">
        <v>129</v>
      </c>
      <c r="F231">
        <v>1</v>
      </c>
      <c r="G231">
        <v>28376</v>
      </c>
      <c r="H231" s="23">
        <v>45156</v>
      </c>
      <c r="I231">
        <v>28376</v>
      </c>
      <c r="J231">
        <v>5675.2</v>
      </c>
    </row>
    <row r="232" spans="1:10" x14ac:dyDescent="0.3">
      <c r="A232">
        <v>331</v>
      </c>
      <c r="B232" t="s">
        <v>38</v>
      </c>
      <c r="C232" t="s">
        <v>34</v>
      </c>
      <c r="D232" t="s">
        <v>136</v>
      </c>
      <c r="E232" t="s">
        <v>141</v>
      </c>
      <c r="F232">
        <v>8</v>
      </c>
      <c r="G232">
        <v>44513</v>
      </c>
      <c r="H232" s="23">
        <v>45157</v>
      </c>
      <c r="I232">
        <v>356104</v>
      </c>
      <c r="J232">
        <v>8902.6</v>
      </c>
    </row>
    <row r="233" spans="1:10" x14ac:dyDescent="0.3">
      <c r="A233">
        <v>332</v>
      </c>
      <c r="B233" t="s">
        <v>19</v>
      </c>
      <c r="C233" t="s">
        <v>36</v>
      </c>
      <c r="D233" t="s">
        <v>128</v>
      </c>
      <c r="E233" t="s">
        <v>137</v>
      </c>
      <c r="F233">
        <v>2</v>
      </c>
      <c r="G233">
        <v>15199</v>
      </c>
      <c r="H233" s="23">
        <v>45158</v>
      </c>
      <c r="I233">
        <v>30398</v>
      </c>
      <c r="J233">
        <v>3039.8</v>
      </c>
    </row>
    <row r="234" spans="1:10" x14ac:dyDescent="0.3">
      <c r="A234">
        <v>333</v>
      </c>
      <c r="B234" t="s">
        <v>144</v>
      </c>
      <c r="C234" t="s">
        <v>35</v>
      </c>
      <c r="D234" t="s">
        <v>136</v>
      </c>
      <c r="E234" t="s">
        <v>141</v>
      </c>
      <c r="F234">
        <v>3</v>
      </c>
      <c r="G234">
        <v>16876</v>
      </c>
      <c r="H234" s="23">
        <v>45159</v>
      </c>
      <c r="I234">
        <v>50628</v>
      </c>
      <c r="J234">
        <v>3375.2</v>
      </c>
    </row>
    <row r="235" spans="1:10" x14ac:dyDescent="0.3">
      <c r="A235">
        <v>334</v>
      </c>
      <c r="B235" t="s">
        <v>19</v>
      </c>
      <c r="C235" t="s">
        <v>34</v>
      </c>
      <c r="D235" t="s">
        <v>130</v>
      </c>
      <c r="E235" t="s">
        <v>145</v>
      </c>
      <c r="F235">
        <v>8</v>
      </c>
      <c r="G235">
        <v>9245</v>
      </c>
      <c r="H235" s="23">
        <v>45160</v>
      </c>
      <c r="I235">
        <v>73960</v>
      </c>
      <c r="J235">
        <v>1849</v>
      </c>
    </row>
    <row r="236" spans="1:10" x14ac:dyDescent="0.3">
      <c r="A236">
        <v>335</v>
      </c>
      <c r="B236" t="s">
        <v>135</v>
      </c>
      <c r="C236" t="s">
        <v>33</v>
      </c>
      <c r="D236" t="s">
        <v>130</v>
      </c>
      <c r="E236" t="s">
        <v>140</v>
      </c>
      <c r="F236">
        <v>8</v>
      </c>
      <c r="G236">
        <v>8214</v>
      </c>
      <c r="H236" s="23">
        <v>45161</v>
      </c>
      <c r="I236">
        <v>65712</v>
      </c>
      <c r="J236">
        <v>1642.8</v>
      </c>
    </row>
    <row r="237" spans="1:10" x14ac:dyDescent="0.3">
      <c r="A237">
        <v>336</v>
      </c>
      <c r="B237" t="s">
        <v>135</v>
      </c>
      <c r="C237" t="s">
        <v>33</v>
      </c>
      <c r="D237" t="s">
        <v>133</v>
      </c>
      <c r="E237" t="s">
        <v>145</v>
      </c>
      <c r="F237">
        <v>4</v>
      </c>
      <c r="G237">
        <v>1726</v>
      </c>
      <c r="H237" s="23">
        <v>45162</v>
      </c>
      <c r="I237">
        <v>6904</v>
      </c>
      <c r="J237">
        <v>345.2</v>
      </c>
    </row>
    <row r="238" spans="1:10" x14ac:dyDescent="0.3">
      <c r="A238">
        <v>337</v>
      </c>
      <c r="B238" t="s">
        <v>127</v>
      </c>
      <c r="C238" t="s">
        <v>33</v>
      </c>
      <c r="D238" t="s">
        <v>130</v>
      </c>
      <c r="E238" t="s">
        <v>143</v>
      </c>
      <c r="F238">
        <v>4</v>
      </c>
      <c r="G238">
        <v>47600</v>
      </c>
      <c r="H238" s="23">
        <v>45163</v>
      </c>
      <c r="I238">
        <v>190400</v>
      </c>
      <c r="J238">
        <v>9520</v>
      </c>
    </row>
    <row r="239" spans="1:10" x14ac:dyDescent="0.3">
      <c r="A239">
        <v>338</v>
      </c>
      <c r="B239" t="s">
        <v>146</v>
      </c>
      <c r="C239" t="s">
        <v>35</v>
      </c>
      <c r="D239" t="s">
        <v>130</v>
      </c>
      <c r="E239" t="s">
        <v>143</v>
      </c>
      <c r="F239">
        <v>5</v>
      </c>
      <c r="G239">
        <v>12362</v>
      </c>
      <c r="H239" s="23">
        <v>45164</v>
      </c>
      <c r="I239">
        <v>61810</v>
      </c>
      <c r="J239">
        <v>2472.4</v>
      </c>
    </row>
    <row r="240" spans="1:10" x14ac:dyDescent="0.3">
      <c r="A240">
        <v>339</v>
      </c>
      <c r="B240" t="s">
        <v>146</v>
      </c>
      <c r="C240" t="s">
        <v>35</v>
      </c>
      <c r="D240" t="s">
        <v>128</v>
      </c>
      <c r="E240" t="s">
        <v>145</v>
      </c>
      <c r="F240">
        <v>6</v>
      </c>
      <c r="G240">
        <v>19297</v>
      </c>
      <c r="H240" s="23">
        <v>45165</v>
      </c>
      <c r="I240">
        <v>115782</v>
      </c>
      <c r="J240">
        <v>3859.4</v>
      </c>
    </row>
    <row r="241" spans="1:10" x14ac:dyDescent="0.3">
      <c r="A241">
        <v>340</v>
      </c>
      <c r="B241" t="s">
        <v>139</v>
      </c>
      <c r="C241" t="s">
        <v>33</v>
      </c>
      <c r="D241" t="s">
        <v>136</v>
      </c>
      <c r="E241" t="s">
        <v>140</v>
      </c>
      <c r="F241">
        <v>5</v>
      </c>
      <c r="G241">
        <v>31448</v>
      </c>
      <c r="H241" s="23">
        <v>45166</v>
      </c>
      <c r="I241">
        <v>157240</v>
      </c>
      <c r="J241">
        <v>6289.6</v>
      </c>
    </row>
    <row r="242" spans="1:10" x14ac:dyDescent="0.3">
      <c r="A242">
        <v>341</v>
      </c>
      <c r="B242" t="s">
        <v>139</v>
      </c>
      <c r="C242" t="s">
        <v>34</v>
      </c>
      <c r="D242" t="s">
        <v>136</v>
      </c>
      <c r="E242" t="s">
        <v>145</v>
      </c>
      <c r="F242">
        <v>7</v>
      </c>
      <c r="G242">
        <v>27172</v>
      </c>
      <c r="H242" s="23">
        <v>45167</v>
      </c>
      <c r="I242">
        <v>190204</v>
      </c>
      <c r="J242">
        <v>5434.4</v>
      </c>
    </row>
    <row r="243" spans="1:10" x14ac:dyDescent="0.3">
      <c r="A243">
        <v>342</v>
      </c>
      <c r="B243" t="s">
        <v>139</v>
      </c>
      <c r="C243" t="s">
        <v>35</v>
      </c>
      <c r="D243" t="s">
        <v>128</v>
      </c>
      <c r="E243" t="s">
        <v>140</v>
      </c>
      <c r="F243">
        <v>2</v>
      </c>
      <c r="G243">
        <v>43874</v>
      </c>
      <c r="H243" s="23">
        <v>45168</v>
      </c>
      <c r="I243">
        <v>87748</v>
      </c>
      <c r="J243">
        <v>8774.7999999999993</v>
      </c>
    </row>
    <row r="244" spans="1:10" x14ac:dyDescent="0.3">
      <c r="A244">
        <v>343</v>
      </c>
      <c r="B244" t="s">
        <v>38</v>
      </c>
      <c r="C244" t="s">
        <v>33</v>
      </c>
      <c r="D244" t="s">
        <v>133</v>
      </c>
      <c r="E244" t="s">
        <v>140</v>
      </c>
      <c r="F244">
        <v>7</v>
      </c>
      <c r="G244">
        <v>8657</v>
      </c>
      <c r="H244" s="23">
        <v>45169</v>
      </c>
      <c r="I244">
        <v>60599</v>
      </c>
      <c r="J244">
        <v>1731.4</v>
      </c>
    </row>
    <row r="245" spans="1:10" x14ac:dyDescent="0.3">
      <c r="A245">
        <v>344</v>
      </c>
      <c r="B245" t="s">
        <v>132</v>
      </c>
      <c r="C245" t="s">
        <v>33</v>
      </c>
      <c r="D245" t="s">
        <v>136</v>
      </c>
      <c r="E245" t="s">
        <v>134</v>
      </c>
      <c r="F245">
        <v>7</v>
      </c>
      <c r="G245">
        <v>19850</v>
      </c>
      <c r="H245" s="23">
        <v>45170</v>
      </c>
      <c r="I245">
        <v>138950</v>
      </c>
      <c r="J245">
        <v>3970</v>
      </c>
    </row>
    <row r="246" spans="1:10" x14ac:dyDescent="0.3">
      <c r="A246">
        <v>345</v>
      </c>
      <c r="B246" t="s">
        <v>142</v>
      </c>
      <c r="C246" t="s">
        <v>34</v>
      </c>
      <c r="D246" t="s">
        <v>130</v>
      </c>
      <c r="E246" t="s">
        <v>137</v>
      </c>
      <c r="F246">
        <v>1</v>
      </c>
      <c r="G246">
        <v>26425</v>
      </c>
      <c r="H246" s="23">
        <v>45171</v>
      </c>
      <c r="I246">
        <v>26425</v>
      </c>
      <c r="J246">
        <v>5285</v>
      </c>
    </row>
    <row r="247" spans="1:10" x14ac:dyDescent="0.3">
      <c r="A247">
        <v>346</v>
      </c>
      <c r="B247" t="s">
        <v>132</v>
      </c>
      <c r="C247" t="s">
        <v>36</v>
      </c>
      <c r="D247" t="s">
        <v>136</v>
      </c>
      <c r="E247" t="s">
        <v>131</v>
      </c>
      <c r="F247">
        <v>7</v>
      </c>
      <c r="G247">
        <v>27685</v>
      </c>
      <c r="H247" s="23">
        <v>45172</v>
      </c>
      <c r="I247">
        <v>193795</v>
      </c>
      <c r="J247">
        <v>5537</v>
      </c>
    </row>
    <row r="248" spans="1:10" x14ac:dyDescent="0.3">
      <c r="A248">
        <v>347</v>
      </c>
      <c r="B248" t="s">
        <v>19</v>
      </c>
      <c r="C248" t="s">
        <v>35</v>
      </c>
      <c r="D248" t="s">
        <v>130</v>
      </c>
      <c r="E248" t="s">
        <v>140</v>
      </c>
      <c r="F248">
        <v>5</v>
      </c>
      <c r="G248">
        <v>48319</v>
      </c>
      <c r="H248" s="23">
        <v>45173</v>
      </c>
      <c r="I248">
        <v>241595</v>
      </c>
      <c r="J248">
        <v>9663.7999999999993</v>
      </c>
    </row>
    <row r="249" spans="1:10" x14ac:dyDescent="0.3">
      <c r="A249">
        <v>348</v>
      </c>
      <c r="B249" t="s">
        <v>132</v>
      </c>
      <c r="C249" t="s">
        <v>34</v>
      </c>
      <c r="D249" t="s">
        <v>133</v>
      </c>
      <c r="E249" t="s">
        <v>141</v>
      </c>
      <c r="F249">
        <v>3</v>
      </c>
      <c r="G249">
        <v>25578</v>
      </c>
      <c r="H249" s="23">
        <v>45174</v>
      </c>
      <c r="I249">
        <v>76734</v>
      </c>
      <c r="J249">
        <v>5115.6000000000004</v>
      </c>
    </row>
    <row r="250" spans="1:10" x14ac:dyDescent="0.3">
      <c r="A250">
        <v>349</v>
      </c>
      <c r="B250" t="s">
        <v>38</v>
      </c>
      <c r="C250" t="s">
        <v>33</v>
      </c>
      <c r="D250" t="s">
        <v>128</v>
      </c>
      <c r="E250" t="s">
        <v>140</v>
      </c>
      <c r="F250">
        <v>3</v>
      </c>
      <c r="G250">
        <v>29831</v>
      </c>
      <c r="H250" s="23">
        <v>45175</v>
      </c>
      <c r="I250">
        <v>89493</v>
      </c>
      <c r="J250">
        <v>5966.2</v>
      </c>
    </row>
    <row r="251" spans="1:10" x14ac:dyDescent="0.3">
      <c r="A251">
        <v>350</v>
      </c>
      <c r="B251" t="s">
        <v>19</v>
      </c>
      <c r="C251" t="s">
        <v>33</v>
      </c>
      <c r="D251" t="s">
        <v>136</v>
      </c>
      <c r="E251" t="s">
        <v>140</v>
      </c>
      <c r="F251">
        <v>4</v>
      </c>
      <c r="G251">
        <v>8906</v>
      </c>
      <c r="H251" s="23">
        <v>45176</v>
      </c>
      <c r="I251">
        <v>35624</v>
      </c>
      <c r="J251">
        <v>1781.2</v>
      </c>
    </row>
    <row r="252" spans="1:10" x14ac:dyDescent="0.3">
      <c r="A252">
        <v>351</v>
      </c>
      <c r="B252" t="s">
        <v>132</v>
      </c>
      <c r="C252" t="s">
        <v>34</v>
      </c>
      <c r="D252" t="s">
        <v>128</v>
      </c>
      <c r="E252" t="s">
        <v>140</v>
      </c>
      <c r="F252">
        <v>2</v>
      </c>
      <c r="G252">
        <v>8287</v>
      </c>
      <c r="H252" s="23">
        <v>45177</v>
      </c>
      <c r="I252">
        <v>16574</v>
      </c>
      <c r="J252">
        <v>1657.4</v>
      </c>
    </row>
    <row r="253" spans="1:10" x14ac:dyDescent="0.3">
      <c r="A253">
        <v>352</v>
      </c>
      <c r="B253" t="s">
        <v>38</v>
      </c>
      <c r="C253" t="s">
        <v>35</v>
      </c>
      <c r="D253" t="s">
        <v>136</v>
      </c>
      <c r="E253" t="s">
        <v>134</v>
      </c>
      <c r="F253">
        <v>2</v>
      </c>
      <c r="G253">
        <v>34660</v>
      </c>
      <c r="H253" s="23">
        <v>45178</v>
      </c>
      <c r="I253">
        <v>69320</v>
      </c>
      <c r="J253">
        <v>6932</v>
      </c>
    </row>
    <row r="254" spans="1:10" x14ac:dyDescent="0.3">
      <c r="A254">
        <v>353</v>
      </c>
      <c r="B254" t="s">
        <v>142</v>
      </c>
      <c r="C254" t="s">
        <v>36</v>
      </c>
      <c r="D254" t="s">
        <v>130</v>
      </c>
      <c r="E254" t="s">
        <v>137</v>
      </c>
      <c r="F254">
        <v>1</v>
      </c>
      <c r="G254">
        <v>11222</v>
      </c>
      <c r="H254" s="23">
        <v>45179</v>
      </c>
      <c r="I254">
        <v>11222</v>
      </c>
      <c r="J254">
        <v>2244.4</v>
      </c>
    </row>
    <row r="255" spans="1:10" x14ac:dyDescent="0.3">
      <c r="A255">
        <v>354</v>
      </c>
      <c r="B255" t="s">
        <v>132</v>
      </c>
      <c r="C255" t="s">
        <v>36</v>
      </c>
      <c r="D255" t="s">
        <v>128</v>
      </c>
      <c r="E255" t="s">
        <v>134</v>
      </c>
      <c r="F255">
        <v>5</v>
      </c>
      <c r="G255">
        <v>38443</v>
      </c>
      <c r="H255" s="23">
        <v>45180</v>
      </c>
      <c r="I255">
        <v>192215</v>
      </c>
      <c r="J255">
        <v>7688.6</v>
      </c>
    </row>
    <row r="256" spans="1:10" x14ac:dyDescent="0.3">
      <c r="A256">
        <v>355</v>
      </c>
      <c r="B256" t="s">
        <v>38</v>
      </c>
      <c r="C256" t="s">
        <v>33</v>
      </c>
      <c r="D256" t="s">
        <v>136</v>
      </c>
      <c r="E256" t="s">
        <v>143</v>
      </c>
      <c r="F256">
        <v>4</v>
      </c>
      <c r="G256">
        <v>35701</v>
      </c>
      <c r="H256" s="23">
        <v>45181</v>
      </c>
      <c r="I256">
        <v>142804</v>
      </c>
      <c r="J256">
        <v>7140.2</v>
      </c>
    </row>
    <row r="257" spans="1:10" x14ac:dyDescent="0.3">
      <c r="A257">
        <v>356</v>
      </c>
      <c r="B257" t="s">
        <v>139</v>
      </c>
      <c r="C257" t="s">
        <v>35</v>
      </c>
      <c r="D257" t="s">
        <v>130</v>
      </c>
      <c r="E257" t="s">
        <v>134</v>
      </c>
      <c r="F257">
        <v>2</v>
      </c>
      <c r="G257">
        <v>18764</v>
      </c>
      <c r="H257" s="23">
        <v>45182</v>
      </c>
      <c r="I257">
        <v>37528</v>
      </c>
      <c r="J257">
        <v>3752.8</v>
      </c>
    </row>
    <row r="258" spans="1:10" x14ac:dyDescent="0.3">
      <c r="A258">
        <v>357</v>
      </c>
      <c r="B258" t="s">
        <v>146</v>
      </c>
      <c r="C258" t="s">
        <v>36</v>
      </c>
      <c r="D258" t="s">
        <v>128</v>
      </c>
      <c r="E258" t="s">
        <v>141</v>
      </c>
      <c r="F258">
        <v>3</v>
      </c>
      <c r="G258">
        <v>45641</v>
      </c>
      <c r="H258" s="23">
        <v>45183</v>
      </c>
      <c r="I258">
        <v>136923</v>
      </c>
      <c r="J258">
        <v>9128.2000000000007</v>
      </c>
    </row>
    <row r="259" spans="1:10" x14ac:dyDescent="0.3">
      <c r="A259">
        <v>358</v>
      </c>
      <c r="B259" t="s">
        <v>139</v>
      </c>
      <c r="C259" t="s">
        <v>35</v>
      </c>
      <c r="D259" t="s">
        <v>128</v>
      </c>
      <c r="E259" t="s">
        <v>141</v>
      </c>
      <c r="F259">
        <v>7</v>
      </c>
      <c r="G259">
        <v>18674</v>
      </c>
      <c r="H259" s="23">
        <v>45184</v>
      </c>
      <c r="I259">
        <v>130718</v>
      </c>
      <c r="J259">
        <v>3734.8</v>
      </c>
    </row>
    <row r="260" spans="1:10" x14ac:dyDescent="0.3">
      <c r="A260">
        <v>359</v>
      </c>
      <c r="B260" t="s">
        <v>146</v>
      </c>
      <c r="C260" t="s">
        <v>35</v>
      </c>
      <c r="D260" t="s">
        <v>136</v>
      </c>
      <c r="E260" t="s">
        <v>134</v>
      </c>
      <c r="F260">
        <v>7</v>
      </c>
      <c r="G260">
        <v>19024</v>
      </c>
      <c r="H260" s="23">
        <v>45185</v>
      </c>
      <c r="I260">
        <v>133168</v>
      </c>
      <c r="J260">
        <v>3804.8</v>
      </c>
    </row>
    <row r="261" spans="1:10" x14ac:dyDescent="0.3">
      <c r="A261">
        <v>360</v>
      </c>
      <c r="B261" t="s">
        <v>144</v>
      </c>
      <c r="C261" t="s">
        <v>33</v>
      </c>
      <c r="D261" t="s">
        <v>136</v>
      </c>
      <c r="E261" t="s">
        <v>137</v>
      </c>
      <c r="F261">
        <v>4</v>
      </c>
      <c r="G261">
        <v>47007</v>
      </c>
      <c r="H261" s="23">
        <v>45186</v>
      </c>
      <c r="I261">
        <v>188028</v>
      </c>
      <c r="J261">
        <v>9401.4</v>
      </c>
    </row>
    <row r="262" spans="1:10" x14ac:dyDescent="0.3">
      <c r="A262">
        <v>361</v>
      </c>
      <c r="B262" t="s">
        <v>144</v>
      </c>
      <c r="C262" t="s">
        <v>36</v>
      </c>
      <c r="D262" t="s">
        <v>136</v>
      </c>
      <c r="E262" t="s">
        <v>145</v>
      </c>
      <c r="F262">
        <v>5</v>
      </c>
      <c r="G262">
        <v>24874</v>
      </c>
      <c r="H262" s="23">
        <v>45187</v>
      </c>
      <c r="I262">
        <v>124370</v>
      </c>
      <c r="J262">
        <v>4974.8</v>
      </c>
    </row>
    <row r="263" spans="1:10" x14ac:dyDescent="0.3">
      <c r="A263">
        <v>362</v>
      </c>
      <c r="B263" t="s">
        <v>144</v>
      </c>
      <c r="C263" t="s">
        <v>34</v>
      </c>
      <c r="D263" t="s">
        <v>130</v>
      </c>
      <c r="E263" t="s">
        <v>131</v>
      </c>
      <c r="F263">
        <v>5</v>
      </c>
      <c r="G263">
        <v>44642</v>
      </c>
      <c r="H263" s="23">
        <v>45188</v>
      </c>
      <c r="I263">
        <v>223210</v>
      </c>
      <c r="J263">
        <v>8928.4</v>
      </c>
    </row>
    <row r="264" spans="1:10" x14ac:dyDescent="0.3">
      <c r="A264">
        <v>363</v>
      </c>
      <c r="B264" t="s">
        <v>142</v>
      </c>
      <c r="C264" t="s">
        <v>33</v>
      </c>
      <c r="D264" t="s">
        <v>136</v>
      </c>
      <c r="E264" t="s">
        <v>137</v>
      </c>
      <c r="F264">
        <v>6</v>
      </c>
      <c r="G264">
        <v>33284</v>
      </c>
      <c r="H264" s="23">
        <v>45189</v>
      </c>
      <c r="I264">
        <v>199704</v>
      </c>
      <c r="J264">
        <v>6656.8</v>
      </c>
    </row>
    <row r="265" spans="1:10" x14ac:dyDescent="0.3">
      <c r="A265">
        <v>364</v>
      </c>
      <c r="B265" t="s">
        <v>139</v>
      </c>
      <c r="C265" t="s">
        <v>36</v>
      </c>
      <c r="D265" t="s">
        <v>128</v>
      </c>
      <c r="E265" t="s">
        <v>134</v>
      </c>
      <c r="F265">
        <v>9</v>
      </c>
      <c r="G265">
        <v>18602</v>
      </c>
      <c r="H265" s="23">
        <v>45190</v>
      </c>
      <c r="I265">
        <v>167418</v>
      </c>
      <c r="J265">
        <v>3720.4</v>
      </c>
    </row>
    <row r="266" spans="1:10" x14ac:dyDescent="0.3">
      <c r="A266">
        <v>365</v>
      </c>
      <c r="B266" t="s">
        <v>146</v>
      </c>
      <c r="C266" t="s">
        <v>36</v>
      </c>
      <c r="D266" t="s">
        <v>128</v>
      </c>
      <c r="E266" t="s">
        <v>140</v>
      </c>
      <c r="F266">
        <v>2</v>
      </c>
      <c r="G266">
        <v>38784</v>
      </c>
      <c r="H266" s="23">
        <v>45191</v>
      </c>
      <c r="I266">
        <v>77568</v>
      </c>
      <c r="J266">
        <v>7756.8</v>
      </c>
    </row>
    <row r="267" spans="1:10" x14ac:dyDescent="0.3">
      <c r="A267">
        <v>366</v>
      </c>
      <c r="B267" t="s">
        <v>38</v>
      </c>
      <c r="C267" t="s">
        <v>36</v>
      </c>
      <c r="D267" t="s">
        <v>136</v>
      </c>
      <c r="E267" t="s">
        <v>129</v>
      </c>
      <c r="F267">
        <v>5</v>
      </c>
      <c r="G267">
        <v>24265</v>
      </c>
      <c r="H267" s="23">
        <v>45192</v>
      </c>
      <c r="I267">
        <v>121325</v>
      </c>
      <c r="J267">
        <v>4853</v>
      </c>
    </row>
    <row r="268" spans="1:10" x14ac:dyDescent="0.3">
      <c r="A268">
        <v>367</v>
      </c>
      <c r="B268" t="s">
        <v>19</v>
      </c>
      <c r="C268" t="s">
        <v>36</v>
      </c>
      <c r="D268" t="s">
        <v>136</v>
      </c>
      <c r="E268" t="s">
        <v>131</v>
      </c>
      <c r="F268">
        <v>3</v>
      </c>
      <c r="G268">
        <v>26931</v>
      </c>
      <c r="H268" s="23">
        <v>45193</v>
      </c>
      <c r="I268">
        <v>80793</v>
      </c>
      <c r="J268">
        <v>5386.2</v>
      </c>
    </row>
    <row r="269" spans="1:10" x14ac:dyDescent="0.3">
      <c r="A269">
        <v>368</v>
      </c>
      <c r="B269" t="s">
        <v>38</v>
      </c>
      <c r="C269" t="s">
        <v>36</v>
      </c>
      <c r="D269" t="s">
        <v>133</v>
      </c>
      <c r="E269" t="s">
        <v>131</v>
      </c>
      <c r="F269">
        <v>4</v>
      </c>
      <c r="G269">
        <v>29841</v>
      </c>
      <c r="H269" s="23">
        <v>45194</v>
      </c>
      <c r="I269">
        <v>119364</v>
      </c>
      <c r="J269">
        <v>5968.2</v>
      </c>
    </row>
    <row r="270" spans="1:10" x14ac:dyDescent="0.3">
      <c r="A270">
        <v>369</v>
      </c>
      <c r="B270" t="s">
        <v>19</v>
      </c>
      <c r="C270" t="s">
        <v>35</v>
      </c>
      <c r="D270" t="s">
        <v>128</v>
      </c>
      <c r="E270" t="s">
        <v>141</v>
      </c>
      <c r="F270">
        <v>6</v>
      </c>
      <c r="G270">
        <v>30192</v>
      </c>
      <c r="H270" s="23">
        <v>45195</v>
      </c>
      <c r="I270">
        <v>181152</v>
      </c>
      <c r="J270">
        <v>6038.4</v>
      </c>
    </row>
    <row r="271" spans="1:10" x14ac:dyDescent="0.3">
      <c r="A271">
        <v>370</v>
      </c>
      <c r="B271" t="s">
        <v>135</v>
      </c>
      <c r="C271" t="s">
        <v>33</v>
      </c>
      <c r="D271" t="s">
        <v>130</v>
      </c>
      <c r="E271" t="s">
        <v>131</v>
      </c>
      <c r="F271">
        <v>8</v>
      </c>
      <c r="G271">
        <v>47542</v>
      </c>
      <c r="H271" s="23">
        <v>45196</v>
      </c>
      <c r="I271">
        <v>380336</v>
      </c>
      <c r="J271">
        <v>9508.4</v>
      </c>
    </row>
    <row r="272" spans="1:10" x14ac:dyDescent="0.3">
      <c r="A272">
        <v>371</v>
      </c>
      <c r="B272" t="s">
        <v>38</v>
      </c>
      <c r="C272" t="s">
        <v>35</v>
      </c>
      <c r="D272" t="s">
        <v>133</v>
      </c>
      <c r="E272" t="s">
        <v>134</v>
      </c>
      <c r="F272">
        <v>1</v>
      </c>
      <c r="G272">
        <v>43520</v>
      </c>
      <c r="H272" s="23">
        <v>45197</v>
      </c>
      <c r="I272">
        <v>43520</v>
      </c>
      <c r="J272">
        <v>8704</v>
      </c>
    </row>
    <row r="273" spans="1:10" x14ac:dyDescent="0.3">
      <c r="A273">
        <v>372</v>
      </c>
      <c r="B273" t="s">
        <v>132</v>
      </c>
      <c r="C273" t="s">
        <v>34</v>
      </c>
      <c r="D273" t="s">
        <v>136</v>
      </c>
      <c r="E273" t="s">
        <v>140</v>
      </c>
      <c r="F273">
        <v>8</v>
      </c>
      <c r="G273">
        <v>16585</v>
      </c>
      <c r="H273" s="23">
        <v>45198</v>
      </c>
      <c r="I273">
        <v>132680</v>
      </c>
      <c r="J273">
        <v>3317</v>
      </c>
    </row>
    <row r="274" spans="1:10" x14ac:dyDescent="0.3">
      <c r="A274">
        <v>373</v>
      </c>
      <c r="B274" t="s">
        <v>132</v>
      </c>
      <c r="C274" t="s">
        <v>36</v>
      </c>
      <c r="D274" t="s">
        <v>136</v>
      </c>
      <c r="E274" t="s">
        <v>140</v>
      </c>
      <c r="F274">
        <v>7</v>
      </c>
      <c r="G274">
        <v>26559</v>
      </c>
      <c r="H274" s="23">
        <v>45199</v>
      </c>
      <c r="I274">
        <v>185913</v>
      </c>
      <c r="J274">
        <v>5311.8</v>
      </c>
    </row>
    <row r="275" spans="1:10" x14ac:dyDescent="0.3">
      <c r="A275">
        <v>374</v>
      </c>
      <c r="B275" t="s">
        <v>127</v>
      </c>
      <c r="C275" t="s">
        <v>33</v>
      </c>
      <c r="D275" t="s">
        <v>128</v>
      </c>
      <c r="E275" t="s">
        <v>143</v>
      </c>
      <c r="F275">
        <v>1</v>
      </c>
      <c r="G275">
        <v>41059</v>
      </c>
      <c r="H275" s="23">
        <v>45200</v>
      </c>
      <c r="I275">
        <v>41059</v>
      </c>
      <c r="J275">
        <v>8211.7999999999993</v>
      </c>
    </row>
    <row r="276" spans="1:10" x14ac:dyDescent="0.3">
      <c r="A276">
        <v>375</v>
      </c>
      <c r="B276" t="s">
        <v>139</v>
      </c>
      <c r="C276" t="s">
        <v>36</v>
      </c>
      <c r="D276" t="s">
        <v>136</v>
      </c>
      <c r="E276" t="s">
        <v>140</v>
      </c>
      <c r="F276">
        <v>2</v>
      </c>
      <c r="G276">
        <v>34742</v>
      </c>
      <c r="H276" s="23">
        <v>45201</v>
      </c>
      <c r="I276">
        <v>69484</v>
      </c>
      <c r="J276">
        <v>6948.4</v>
      </c>
    </row>
    <row r="277" spans="1:10" x14ac:dyDescent="0.3">
      <c r="A277">
        <v>376</v>
      </c>
      <c r="B277" t="s">
        <v>19</v>
      </c>
      <c r="C277" t="s">
        <v>33</v>
      </c>
      <c r="D277" t="s">
        <v>130</v>
      </c>
      <c r="E277" t="s">
        <v>137</v>
      </c>
      <c r="F277">
        <v>3</v>
      </c>
      <c r="G277">
        <v>5133</v>
      </c>
      <c r="H277" s="23">
        <v>45202</v>
      </c>
      <c r="I277">
        <v>15399</v>
      </c>
      <c r="J277">
        <v>1026.5999999999999</v>
      </c>
    </row>
    <row r="278" spans="1:10" x14ac:dyDescent="0.3">
      <c r="A278">
        <v>377</v>
      </c>
      <c r="B278" t="s">
        <v>19</v>
      </c>
      <c r="C278" t="s">
        <v>35</v>
      </c>
      <c r="D278" t="s">
        <v>128</v>
      </c>
      <c r="E278" t="s">
        <v>140</v>
      </c>
      <c r="F278">
        <v>1</v>
      </c>
      <c r="G278">
        <v>15663</v>
      </c>
      <c r="H278" s="23">
        <v>45203</v>
      </c>
      <c r="I278">
        <v>15663</v>
      </c>
      <c r="J278">
        <v>3132.6</v>
      </c>
    </row>
    <row r="279" spans="1:10" x14ac:dyDescent="0.3">
      <c r="A279">
        <v>378</v>
      </c>
      <c r="B279" t="s">
        <v>139</v>
      </c>
      <c r="C279" t="s">
        <v>33</v>
      </c>
      <c r="D279" t="s">
        <v>136</v>
      </c>
      <c r="E279" t="s">
        <v>141</v>
      </c>
      <c r="F279">
        <v>9</v>
      </c>
      <c r="G279">
        <v>22754</v>
      </c>
      <c r="H279" s="23">
        <v>45204</v>
      </c>
      <c r="I279">
        <v>204786</v>
      </c>
      <c r="J279">
        <v>4550.8</v>
      </c>
    </row>
    <row r="280" spans="1:10" x14ac:dyDescent="0.3">
      <c r="A280">
        <v>379</v>
      </c>
      <c r="B280" t="s">
        <v>142</v>
      </c>
      <c r="C280" t="s">
        <v>34</v>
      </c>
      <c r="D280" t="s">
        <v>128</v>
      </c>
      <c r="E280" t="s">
        <v>140</v>
      </c>
      <c r="F280">
        <v>8</v>
      </c>
      <c r="G280">
        <v>4972</v>
      </c>
      <c r="H280" s="23">
        <v>45205</v>
      </c>
      <c r="I280">
        <v>39776</v>
      </c>
      <c r="J280">
        <v>994.4</v>
      </c>
    </row>
    <row r="281" spans="1:10" x14ac:dyDescent="0.3">
      <c r="A281">
        <v>380</v>
      </c>
      <c r="B281" t="s">
        <v>127</v>
      </c>
      <c r="C281" t="s">
        <v>34</v>
      </c>
      <c r="D281" t="s">
        <v>136</v>
      </c>
      <c r="E281" t="s">
        <v>143</v>
      </c>
      <c r="F281">
        <v>2</v>
      </c>
      <c r="G281">
        <v>6295</v>
      </c>
      <c r="H281" s="23">
        <v>45206</v>
      </c>
      <c r="I281">
        <v>12590</v>
      </c>
      <c r="J281">
        <v>1259</v>
      </c>
    </row>
    <row r="282" spans="1:10" x14ac:dyDescent="0.3">
      <c r="A282">
        <v>381</v>
      </c>
      <c r="B282" t="s">
        <v>142</v>
      </c>
      <c r="C282" t="s">
        <v>33</v>
      </c>
      <c r="D282" t="s">
        <v>136</v>
      </c>
      <c r="E282" t="s">
        <v>129</v>
      </c>
      <c r="F282">
        <v>9</v>
      </c>
      <c r="G282">
        <v>47681</v>
      </c>
      <c r="H282" s="23">
        <v>45207</v>
      </c>
      <c r="I282">
        <v>429129</v>
      </c>
      <c r="J282">
        <v>9536.2000000000007</v>
      </c>
    </row>
    <row r="283" spans="1:10" x14ac:dyDescent="0.3">
      <c r="A283">
        <v>382</v>
      </c>
      <c r="B283" t="s">
        <v>142</v>
      </c>
      <c r="C283" t="s">
        <v>33</v>
      </c>
      <c r="D283" t="s">
        <v>136</v>
      </c>
      <c r="E283" t="s">
        <v>134</v>
      </c>
      <c r="F283">
        <v>7</v>
      </c>
      <c r="G283">
        <v>42873</v>
      </c>
      <c r="H283" s="23">
        <v>45208</v>
      </c>
      <c r="I283">
        <v>300111</v>
      </c>
      <c r="J283">
        <v>8574.6</v>
      </c>
    </row>
    <row r="284" spans="1:10" x14ac:dyDescent="0.3">
      <c r="A284">
        <v>383</v>
      </c>
      <c r="B284" t="s">
        <v>142</v>
      </c>
      <c r="C284" t="s">
        <v>33</v>
      </c>
      <c r="D284" t="s">
        <v>130</v>
      </c>
      <c r="E284" t="s">
        <v>141</v>
      </c>
      <c r="F284">
        <v>9</v>
      </c>
      <c r="G284">
        <v>30125</v>
      </c>
      <c r="H284" s="23">
        <v>45209</v>
      </c>
      <c r="I284">
        <v>271125</v>
      </c>
      <c r="J284">
        <v>6025</v>
      </c>
    </row>
    <row r="285" spans="1:10" x14ac:dyDescent="0.3">
      <c r="A285">
        <v>384</v>
      </c>
      <c r="B285" t="s">
        <v>139</v>
      </c>
      <c r="C285" t="s">
        <v>33</v>
      </c>
      <c r="D285" t="s">
        <v>130</v>
      </c>
      <c r="E285" t="s">
        <v>137</v>
      </c>
      <c r="F285">
        <v>6</v>
      </c>
      <c r="G285">
        <v>41996</v>
      </c>
      <c r="H285" s="23">
        <v>45210</v>
      </c>
      <c r="I285">
        <v>251976</v>
      </c>
      <c r="J285">
        <v>8399.2000000000007</v>
      </c>
    </row>
    <row r="286" spans="1:10" x14ac:dyDescent="0.3">
      <c r="A286">
        <v>385</v>
      </c>
      <c r="B286" t="s">
        <v>142</v>
      </c>
      <c r="C286" t="s">
        <v>34</v>
      </c>
      <c r="D286" t="s">
        <v>128</v>
      </c>
      <c r="E286" t="s">
        <v>129</v>
      </c>
      <c r="F286">
        <v>6</v>
      </c>
      <c r="G286">
        <v>10903</v>
      </c>
      <c r="H286" s="23">
        <v>45211</v>
      </c>
      <c r="I286">
        <v>65418</v>
      </c>
      <c r="J286">
        <v>2180.6</v>
      </c>
    </row>
    <row r="287" spans="1:10" x14ac:dyDescent="0.3">
      <c r="A287">
        <v>386</v>
      </c>
      <c r="B287" t="s">
        <v>132</v>
      </c>
      <c r="C287" t="s">
        <v>36</v>
      </c>
      <c r="D287" t="s">
        <v>136</v>
      </c>
      <c r="E287" t="s">
        <v>141</v>
      </c>
      <c r="F287">
        <v>4</v>
      </c>
      <c r="G287">
        <v>4020</v>
      </c>
      <c r="H287" s="23">
        <v>45212</v>
      </c>
      <c r="I287">
        <v>16080</v>
      </c>
      <c r="J287">
        <v>804</v>
      </c>
    </row>
    <row r="288" spans="1:10" x14ac:dyDescent="0.3">
      <c r="A288">
        <v>387</v>
      </c>
      <c r="B288" t="s">
        <v>144</v>
      </c>
      <c r="C288" t="s">
        <v>33</v>
      </c>
      <c r="D288" t="s">
        <v>136</v>
      </c>
      <c r="E288" t="s">
        <v>145</v>
      </c>
      <c r="F288">
        <v>2</v>
      </c>
      <c r="G288">
        <v>42755</v>
      </c>
      <c r="H288" s="23">
        <v>45213</v>
      </c>
      <c r="I288">
        <v>85510</v>
      </c>
      <c r="J288">
        <v>8551</v>
      </c>
    </row>
    <row r="289" spans="1:10" x14ac:dyDescent="0.3">
      <c r="A289">
        <v>388</v>
      </c>
      <c r="B289" t="s">
        <v>135</v>
      </c>
      <c r="C289" t="s">
        <v>33</v>
      </c>
      <c r="D289" t="s">
        <v>130</v>
      </c>
      <c r="E289" t="s">
        <v>131</v>
      </c>
      <c r="F289">
        <v>7</v>
      </c>
      <c r="G289">
        <v>21420</v>
      </c>
      <c r="H289" s="23">
        <v>45214</v>
      </c>
      <c r="I289">
        <v>149940</v>
      </c>
      <c r="J289">
        <v>4284</v>
      </c>
    </row>
    <row r="290" spans="1:10" x14ac:dyDescent="0.3">
      <c r="A290">
        <v>389</v>
      </c>
      <c r="B290" t="s">
        <v>19</v>
      </c>
      <c r="C290" t="s">
        <v>34</v>
      </c>
      <c r="D290" t="s">
        <v>136</v>
      </c>
      <c r="E290" t="s">
        <v>145</v>
      </c>
      <c r="F290">
        <v>5</v>
      </c>
      <c r="G290">
        <v>22452</v>
      </c>
      <c r="H290" s="23">
        <v>45215</v>
      </c>
      <c r="I290">
        <v>112260</v>
      </c>
      <c r="J290">
        <v>4490.3999999999996</v>
      </c>
    </row>
    <row r="291" spans="1:10" x14ac:dyDescent="0.3">
      <c r="A291">
        <v>390</v>
      </c>
      <c r="B291" t="s">
        <v>19</v>
      </c>
      <c r="C291" t="s">
        <v>34</v>
      </c>
      <c r="D291" t="s">
        <v>130</v>
      </c>
      <c r="E291" t="s">
        <v>140</v>
      </c>
      <c r="F291">
        <v>6</v>
      </c>
      <c r="G291">
        <v>46648</v>
      </c>
      <c r="H291" s="23">
        <v>45216</v>
      </c>
      <c r="I291">
        <v>279888</v>
      </c>
      <c r="J291">
        <v>9329.6</v>
      </c>
    </row>
    <row r="292" spans="1:10" x14ac:dyDescent="0.3">
      <c r="A292">
        <v>391</v>
      </c>
      <c r="B292" t="s">
        <v>135</v>
      </c>
      <c r="C292" t="s">
        <v>35</v>
      </c>
      <c r="D292" t="s">
        <v>136</v>
      </c>
      <c r="E292" t="s">
        <v>129</v>
      </c>
      <c r="F292">
        <v>2</v>
      </c>
      <c r="G292">
        <v>39001</v>
      </c>
      <c r="H292" s="23">
        <v>45217</v>
      </c>
      <c r="I292">
        <v>78002</v>
      </c>
      <c r="J292">
        <v>7800.2</v>
      </c>
    </row>
    <row r="293" spans="1:10" x14ac:dyDescent="0.3">
      <c r="A293">
        <v>392</v>
      </c>
      <c r="B293" t="s">
        <v>139</v>
      </c>
      <c r="C293" t="s">
        <v>33</v>
      </c>
      <c r="D293" t="s">
        <v>128</v>
      </c>
      <c r="E293" t="s">
        <v>140</v>
      </c>
      <c r="F293">
        <v>5</v>
      </c>
      <c r="G293">
        <v>10516</v>
      </c>
      <c r="H293" s="23">
        <v>45218</v>
      </c>
      <c r="I293">
        <v>52580</v>
      </c>
      <c r="J293">
        <v>2103.1999999999998</v>
      </c>
    </row>
    <row r="294" spans="1:10" x14ac:dyDescent="0.3">
      <c r="A294">
        <v>393</v>
      </c>
      <c r="B294" t="s">
        <v>38</v>
      </c>
      <c r="C294" t="s">
        <v>35</v>
      </c>
      <c r="D294" t="s">
        <v>136</v>
      </c>
      <c r="E294" t="s">
        <v>131</v>
      </c>
      <c r="F294">
        <v>4</v>
      </c>
      <c r="G294">
        <v>48327</v>
      </c>
      <c r="H294" s="23">
        <v>45219</v>
      </c>
      <c r="I294">
        <v>193308</v>
      </c>
      <c r="J294">
        <v>9665.4</v>
      </c>
    </row>
    <row r="295" spans="1:10" x14ac:dyDescent="0.3">
      <c r="A295">
        <v>394</v>
      </c>
      <c r="B295" t="s">
        <v>139</v>
      </c>
      <c r="C295" t="s">
        <v>34</v>
      </c>
      <c r="D295" t="s">
        <v>136</v>
      </c>
      <c r="E295" t="s">
        <v>141</v>
      </c>
      <c r="F295">
        <v>9</v>
      </c>
      <c r="G295">
        <v>3396</v>
      </c>
      <c r="H295" s="23">
        <v>45220</v>
      </c>
      <c r="I295">
        <v>30564</v>
      </c>
      <c r="J295">
        <v>679.2</v>
      </c>
    </row>
    <row r="296" spans="1:10" x14ac:dyDescent="0.3">
      <c r="A296">
        <v>395</v>
      </c>
      <c r="B296" t="s">
        <v>19</v>
      </c>
      <c r="C296" t="s">
        <v>34</v>
      </c>
      <c r="D296" t="s">
        <v>133</v>
      </c>
      <c r="E296" t="s">
        <v>131</v>
      </c>
      <c r="F296">
        <v>6</v>
      </c>
      <c r="G296">
        <v>19546</v>
      </c>
      <c r="H296" s="23">
        <v>45221</v>
      </c>
      <c r="I296">
        <v>117276</v>
      </c>
      <c r="J296">
        <v>3909.2</v>
      </c>
    </row>
    <row r="297" spans="1:10" x14ac:dyDescent="0.3">
      <c r="A297">
        <v>396</v>
      </c>
      <c r="B297" t="s">
        <v>19</v>
      </c>
      <c r="C297" t="s">
        <v>36</v>
      </c>
      <c r="D297" t="s">
        <v>130</v>
      </c>
      <c r="E297" t="s">
        <v>143</v>
      </c>
      <c r="F297">
        <v>2</v>
      </c>
      <c r="G297">
        <v>20129</v>
      </c>
      <c r="H297" s="23">
        <v>45222</v>
      </c>
      <c r="I297">
        <v>40258</v>
      </c>
      <c r="J297">
        <v>4025.8</v>
      </c>
    </row>
    <row r="298" spans="1:10" x14ac:dyDescent="0.3">
      <c r="A298">
        <v>397</v>
      </c>
      <c r="B298" t="s">
        <v>135</v>
      </c>
      <c r="C298" t="s">
        <v>33</v>
      </c>
      <c r="D298" t="s">
        <v>136</v>
      </c>
      <c r="E298" t="s">
        <v>131</v>
      </c>
      <c r="F298">
        <v>1</v>
      </c>
      <c r="G298">
        <v>2591</v>
      </c>
      <c r="H298" s="23">
        <v>45223</v>
      </c>
      <c r="I298">
        <v>2591</v>
      </c>
      <c r="J298">
        <v>518.20000000000005</v>
      </c>
    </row>
    <row r="299" spans="1:10" x14ac:dyDescent="0.3">
      <c r="A299">
        <v>398</v>
      </c>
      <c r="B299" t="s">
        <v>142</v>
      </c>
      <c r="C299" t="s">
        <v>35</v>
      </c>
      <c r="D299" t="s">
        <v>136</v>
      </c>
      <c r="E299" t="s">
        <v>143</v>
      </c>
      <c r="F299">
        <v>5</v>
      </c>
      <c r="G299">
        <v>12303</v>
      </c>
      <c r="H299" s="23">
        <v>45224</v>
      </c>
      <c r="I299">
        <v>61515</v>
      </c>
      <c r="J299">
        <v>2460.6</v>
      </c>
    </row>
    <row r="300" spans="1:10" x14ac:dyDescent="0.3">
      <c r="A300">
        <v>399</v>
      </c>
      <c r="B300" t="s">
        <v>139</v>
      </c>
      <c r="C300" t="s">
        <v>34</v>
      </c>
      <c r="D300" t="s">
        <v>133</v>
      </c>
      <c r="E300" t="s">
        <v>131</v>
      </c>
      <c r="F300">
        <v>9</v>
      </c>
      <c r="G300">
        <v>31561</v>
      </c>
      <c r="H300" s="23">
        <v>45225</v>
      </c>
      <c r="I300">
        <v>284049</v>
      </c>
      <c r="J300">
        <v>6312.2</v>
      </c>
    </row>
    <row r="301" spans="1:10" x14ac:dyDescent="0.3">
      <c r="A301">
        <v>400</v>
      </c>
      <c r="B301" t="s">
        <v>146</v>
      </c>
      <c r="C301" t="s">
        <v>34</v>
      </c>
      <c r="D301" t="s">
        <v>133</v>
      </c>
      <c r="E301" t="s">
        <v>134</v>
      </c>
      <c r="F301">
        <v>6</v>
      </c>
      <c r="G301">
        <v>7183</v>
      </c>
      <c r="H301" s="23">
        <v>45226</v>
      </c>
      <c r="I301">
        <v>43098</v>
      </c>
      <c r="J301">
        <v>1436.6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6" zoomScaleNormal="86" workbookViewId="0">
      <selection activeCell="C1" sqref="C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 1</vt:lpstr>
      <vt:lpstr>Sheet2</vt:lpstr>
      <vt:lpstr>Sheet1</vt:lpstr>
      <vt:lpstr>Sheet3</vt:lpstr>
      <vt:lpstr>Sheet5</vt:lpstr>
      <vt:lpstr>Sheet6</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ASDC45</dc:creator>
  <cp:lastModifiedBy>Admin</cp:lastModifiedBy>
  <cp:lastPrinted>2026-07-08T17:44:54Z</cp:lastPrinted>
  <dcterms:created xsi:type="dcterms:W3CDTF">2026-06-30T06:33:26Z</dcterms:created>
  <dcterms:modified xsi:type="dcterms:W3CDTF">2026-07-08T18:23:57Z</dcterms:modified>
</cp:coreProperties>
</file>