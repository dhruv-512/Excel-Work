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DC45\Desktop\"/>
    </mc:Choice>
  </mc:AlternateContent>
  <xr:revisionPtr revIDLastSave="0" documentId="8_{6C5B32A5-6247-47A5-BE63-C9F31BF65D26}" xr6:coauthVersionLast="47" xr6:coauthVersionMax="47" xr10:uidLastSave="{00000000-0000-0000-0000-000000000000}"/>
  <bookViews>
    <workbookView xWindow="-105" yWindow="0" windowWidth="15135" windowHeight="10905" firstSheet="3" activeTab="5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8" i="6" l="1"/>
  <c r="I47" i="6"/>
  <c r="I46" i="6"/>
  <c r="I45" i="6"/>
  <c r="I36" i="6"/>
  <c r="I37" i="6"/>
  <c r="I38" i="6"/>
  <c r="I39" i="6"/>
  <c r="I40" i="6"/>
  <c r="I35" i="6"/>
  <c r="C30" i="6"/>
  <c r="L22" i="6"/>
  <c r="L23" i="6"/>
  <c r="L24" i="6"/>
  <c r="L25" i="6"/>
  <c r="L26" i="6"/>
  <c r="L21" i="6"/>
  <c r="J22" i="6"/>
  <c r="J23" i="6"/>
  <c r="J24" i="6"/>
  <c r="J25" i="6"/>
  <c r="J26" i="6"/>
  <c r="J21" i="6"/>
  <c r="G14" i="6"/>
  <c r="G15" i="6"/>
  <c r="G16" i="6" s="1"/>
  <c r="G13" i="6"/>
  <c r="J5" i="6"/>
  <c r="J6" i="6"/>
  <c r="J7" i="6"/>
  <c r="J8" i="6"/>
  <c r="J4" i="6"/>
  <c r="J32" i="5"/>
</calcChain>
</file>

<file path=xl/sharedStrings.xml><?xml version="1.0" encoding="utf-8"?>
<sst xmlns="http://schemas.openxmlformats.org/spreadsheetml/2006/main" count="234" uniqueCount="81">
  <si>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</si>
  <si>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</si>
  <si>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</si>
  <si>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</si>
  <si>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</si>
  <si>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</si>
  <si>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</si>
  <si>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</si>
  <si>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</si>
  <si>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</si>
  <si>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</si>
  <si>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</si>
  <si>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</si>
  <si>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</si>
  <si>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</si>
  <si>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</si>
  <si>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</si>
  <si>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</si>
  <si>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</si>
  <si>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</si>
  <si>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</si>
  <si>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</si>
  <si>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</si>
  <si>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</si>
  <si>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</si>
  <si>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</si>
  <si>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</si>
  <si>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</si>
  <si>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</si>
  <si>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</si>
  <si>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</si>
  <si>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</si>
  <si>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</si>
  <si>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</si>
  <si>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</si>
  <si>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</si>
  <si>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</si>
  <si>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</si>
  <si>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</si>
  <si>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</si>
  <si>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</si>
  <si>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</si>
  <si>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</si>
  <si>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</si>
  <si>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</si>
  <si>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</si>
  <si>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</si>
  <si>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</si>
  <si>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</si>
  <si>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</si>
  <si>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</si>
  <si>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</si>
  <si>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</si>
  <si>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</si>
  <si>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</si>
  <si>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</si>
  <si>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</si>
  <si>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</si>
  <si>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</si>
  <si>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</si>
  <si>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</si>
  <si>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</si>
  <si>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</si>
  <si>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</si>
  <si>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</si>
  <si>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</si>
  <si>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</si>
  <si>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</si>
  <si>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</si>
  <si>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</si>
  <si>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</si>
  <si>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</si>
  <si>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</si>
  <si>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result</t>
  </si>
  <si>
    <t>GST amount</t>
  </si>
  <si>
    <t>GST</t>
  </si>
  <si>
    <t>AMOUNT</t>
  </si>
  <si>
    <t>TOTAL</t>
  </si>
  <si>
    <t>Final amount</t>
  </si>
  <si>
    <t>Total order</t>
  </si>
  <si>
    <t xml:space="preserve">TOTAL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</si>
</sst>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3" tint="0.5999938962981048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5" x14ac:dyDescent="0.25"/>
  <sheetData>
    <row r="1" spans="1:1" x14ac:dyDescent="0.25">
      <c r="A1" t="s">
        <v>72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sqref="A1:G7"/>
    </sheetView>
  </sheetViews>
  <sheetFormatPr defaultRowHeight="15" x14ac:dyDescent="0.25"/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</row>
    <row r="3" spans="1:7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</row>
    <row r="4" spans="1:7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</row>
    <row r="5" spans="1:7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</row>
    <row r="6" spans="1:7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</row>
    <row r="7" spans="1:7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sqref="A1:C4"/>
    </sheetView>
  </sheetViews>
  <sheetFormatPr defaultRowHeight="15" x14ac:dyDescent="0.25"/>
  <sheetData>
    <row r="1" spans="1:3" x14ac:dyDescent="0.25">
      <c r="A1" t="s">
        <v>7</v>
      </c>
      <c r="B1" t="s">
        <v>28</v>
      </c>
      <c r="C1" t="s">
        <v>29</v>
      </c>
    </row>
    <row r="2" spans="1:3" x14ac:dyDescent="0.25">
      <c r="A2" t="s">
        <v>13</v>
      </c>
      <c r="B2" t="s">
        <v>30</v>
      </c>
      <c r="C2">
        <v>18</v>
      </c>
    </row>
    <row r="3" spans="1:3" x14ac:dyDescent="0.25">
      <c r="A3" t="s">
        <v>17</v>
      </c>
      <c r="B3" t="s">
        <v>30</v>
      </c>
      <c r="C3">
        <v>12</v>
      </c>
    </row>
    <row r="4" spans="1:3" x14ac:dyDescent="0.25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E16" sqref="E16"/>
    </sheetView>
  </sheetViews>
  <sheetFormatPr defaultRowHeight="15" x14ac:dyDescent="0.2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6" x14ac:dyDescent="0.2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6" x14ac:dyDescent="0.2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</row>
    <row r="5" spans="1:6" x14ac:dyDescent="0.2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6" x14ac:dyDescent="0.2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topLeftCell="A7" workbookViewId="0">
      <selection activeCell="A6" sqref="A6:XFD6"/>
    </sheetView>
  </sheetViews>
  <sheetFormatPr defaultRowHeight="15" x14ac:dyDescent="0.25"/>
  <sheetData>
    <row r="1" spans="1:10" ht="27.75" customHeight="1" x14ac:dyDescent="0.25">
      <c r="A1" t="s">
        <v>42</v>
      </c>
      <c r="J1">
        <v>2</v>
      </c>
    </row>
    <row r="2" spans="1:10" x14ac:dyDescent="0.25">
      <c r="A2" t="s">
        <v>43</v>
      </c>
      <c r="J2">
        <v>2</v>
      </c>
    </row>
    <row r="3" spans="1:10" x14ac:dyDescent="0.25">
      <c r="A3" t="s">
        <v>44</v>
      </c>
      <c r="J3">
        <v>2</v>
      </c>
    </row>
    <row r="4" spans="1:10" x14ac:dyDescent="0.25">
      <c r="A4" t="s">
        <v>45</v>
      </c>
      <c r="J4">
        <v>2</v>
      </c>
    </row>
    <row r="5" spans="1:10" x14ac:dyDescent="0.25">
      <c r="A5" t="s">
        <v>46</v>
      </c>
      <c r="J5">
        <v>2</v>
      </c>
    </row>
    <row r="6" spans="1:10" x14ac:dyDescent="0.25">
      <c r="A6" t="s">
        <v>47</v>
      </c>
      <c r="J6">
        <v>2</v>
      </c>
    </row>
    <row r="7" spans="1:10" x14ac:dyDescent="0.25">
      <c r="A7" t="s">
        <v>48</v>
      </c>
      <c r="J7">
        <v>2</v>
      </c>
    </row>
    <row r="8" spans="1:10" x14ac:dyDescent="0.25">
      <c r="A8" t="s">
        <v>49</v>
      </c>
      <c r="J8">
        <v>2</v>
      </c>
    </row>
    <row r="9" spans="1:10" x14ac:dyDescent="0.25">
      <c r="A9" t="s">
        <v>50</v>
      </c>
      <c r="J9">
        <v>2</v>
      </c>
    </row>
    <row r="10" spans="1:10" x14ac:dyDescent="0.25">
      <c r="A10" t="s">
        <v>51</v>
      </c>
      <c r="J10">
        <v>2</v>
      </c>
    </row>
    <row r="11" spans="1:10" x14ac:dyDescent="0.25">
      <c r="A11" t="s">
        <v>52</v>
      </c>
      <c r="J11">
        <v>2</v>
      </c>
    </row>
    <row r="12" spans="1:10" x14ac:dyDescent="0.25">
      <c r="A12" t="s">
        <v>53</v>
      </c>
      <c r="J12">
        <v>2</v>
      </c>
    </row>
    <row r="13" spans="1:10" x14ac:dyDescent="0.25">
      <c r="A13" t="s">
        <v>54</v>
      </c>
      <c r="J13">
        <v>2</v>
      </c>
    </row>
    <row r="14" spans="1:10" x14ac:dyDescent="0.25">
      <c r="A14" t="s">
        <v>55</v>
      </c>
      <c r="J14">
        <v>2</v>
      </c>
    </row>
    <row r="15" spans="1:10" x14ac:dyDescent="0.25">
      <c r="A15" t="s">
        <v>56</v>
      </c>
      <c r="J15">
        <v>2</v>
      </c>
    </row>
    <row r="16" spans="1:10" x14ac:dyDescent="0.25">
      <c r="A16" t="s">
        <v>57</v>
      </c>
      <c r="J16">
        <v>2</v>
      </c>
    </row>
    <row r="17" spans="1:10" x14ac:dyDescent="0.25">
      <c r="A17" t="s">
        <v>58</v>
      </c>
      <c r="J17">
        <v>2</v>
      </c>
    </row>
    <row r="18" spans="1:10" x14ac:dyDescent="0.25">
      <c r="A18" t="s">
        <v>59</v>
      </c>
      <c r="J18">
        <v>2</v>
      </c>
    </row>
    <row r="19" spans="1:10" x14ac:dyDescent="0.25">
      <c r="A19" t="s">
        <v>60</v>
      </c>
      <c r="J19">
        <v>2</v>
      </c>
    </row>
    <row r="20" spans="1:10" x14ac:dyDescent="0.25">
      <c r="A20" t="s">
        <v>61</v>
      </c>
      <c r="J20">
        <v>2</v>
      </c>
    </row>
    <row r="21" spans="1:10" x14ac:dyDescent="0.25">
      <c r="A21" t="s">
        <v>62</v>
      </c>
      <c r="J21">
        <v>2</v>
      </c>
    </row>
    <row r="22" spans="1:10" x14ac:dyDescent="0.25">
      <c r="A22" t="s">
        <v>63</v>
      </c>
      <c r="J22">
        <v>2</v>
      </c>
    </row>
    <row r="23" spans="1:10" x14ac:dyDescent="0.25">
      <c r="A23" t="s">
        <v>64</v>
      </c>
      <c r="J23">
        <v>2</v>
      </c>
    </row>
    <row r="24" spans="1:10" x14ac:dyDescent="0.25">
      <c r="A24" t="s">
        <v>65</v>
      </c>
      <c r="J24">
        <v>2</v>
      </c>
    </row>
    <row r="25" spans="1:10" x14ac:dyDescent="0.25">
      <c r="A25" t="s">
        <v>66</v>
      </c>
      <c r="J25">
        <v>2</v>
      </c>
    </row>
    <row r="26" spans="1:10" x14ac:dyDescent="0.25">
      <c r="A26" t="s">
        <v>67</v>
      </c>
      <c r="J26">
        <v>2</v>
      </c>
    </row>
    <row r="27" spans="1:10" x14ac:dyDescent="0.25">
      <c r="A27" t="s">
        <v>68</v>
      </c>
      <c r="J27">
        <v>2</v>
      </c>
    </row>
    <row r="28" spans="1:10" x14ac:dyDescent="0.25">
      <c r="A28" t="s">
        <v>69</v>
      </c>
      <c r="J28">
        <v>2</v>
      </c>
    </row>
    <row r="29" spans="1:10" x14ac:dyDescent="0.25">
      <c r="A29" t="s">
        <v>70</v>
      </c>
      <c r="J29">
        <v>2</v>
      </c>
    </row>
    <row r="30" spans="1:10" x14ac:dyDescent="0.25">
      <c r="A30" t="s">
        <v>71</v>
      </c>
      <c r="J30">
        <v>2</v>
      </c>
    </row>
    <row r="32" spans="1:10" x14ac:dyDescent="0.25">
      <c r="J32">
        <f>SUM(J1:J30)</f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427BD-CEA3-4C68-9DAA-C916516C19C6}">
  <dimension ref="A1:L50"/>
  <sheetViews>
    <sheetView tabSelected="1" topLeftCell="A36" workbookViewId="0">
      <selection activeCell="A52" sqref="A52"/>
    </sheetView>
  </sheetViews>
  <sheetFormatPr defaultRowHeight="15" x14ac:dyDescent="0.25"/>
  <cols>
    <col min="1" max="2" width="13.7109375" customWidth="1"/>
    <col min="4" max="4" width="10" customWidth="1"/>
    <col min="6" max="6" width="12.140625" customWidth="1"/>
    <col min="7" max="7" width="10.140625" customWidth="1"/>
    <col min="9" max="9" width="12.85546875" customWidth="1"/>
    <col min="10" max="10" width="12.42578125" customWidth="1"/>
  </cols>
  <sheetData>
    <row r="1" spans="1:10" x14ac:dyDescent="0.25">
      <c r="A1" t="s">
        <v>42</v>
      </c>
    </row>
    <row r="3" spans="1:10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J3" s="1" t="s">
        <v>73</v>
      </c>
    </row>
    <row r="4" spans="1:10" x14ac:dyDescent="0.25">
      <c r="A4">
        <v>301</v>
      </c>
      <c r="B4" t="s">
        <v>11</v>
      </c>
      <c r="C4" t="s">
        <v>12</v>
      </c>
      <c r="D4" t="s">
        <v>13</v>
      </c>
      <c r="E4">
        <v>2</v>
      </c>
      <c r="F4">
        <v>45000</v>
      </c>
      <c r="G4" t="s">
        <v>14</v>
      </c>
      <c r="J4">
        <f>E4*F4</f>
        <v>90000</v>
      </c>
    </row>
    <row r="5" spans="1:10" x14ac:dyDescent="0.25">
      <c r="A5">
        <v>302</v>
      </c>
      <c r="B5" t="s">
        <v>15</v>
      </c>
      <c r="C5" t="s">
        <v>16</v>
      </c>
      <c r="D5" t="s">
        <v>17</v>
      </c>
      <c r="E5">
        <v>5</v>
      </c>
      <c r="F5">
        <v>15000</v>
      </c>
      <c r="G5" t="s">
        <v>18</v>
      </c>
      <c r="J5">
        <f t="shared" ref="J5:J8" si="0">E5*F5</f>
        <v>75000</v>
      </c>
    </row>
    <row r="6" spans="1:10" x14ac:dyDescent="0.25">
      <c r="A6">
        <v>303</v>
      </c>
      <c r="B6" t="s">
        <v>19</v>
      </c>
      <c r="C6" t="s">
        <v>20</v>
      </c>
      <c r="D6" t="s">
        <v>21</v>
      </c>
      <c r="E6">
        <v>3</v>
      </c>
      <c r="F6">
        <v>18000</v>
      </c>
      <c r="G6" t="s">
        <v>22</v>
      </c>
      <c r="J6">
        <f t="shared" si="0"/>
        <v>54000</v>
      </c>
    </row>
    <row r="7" spans="1:10" x14ac:dyDescent="0.25">
      <c r="A7">
        <v>304</v>
      </c>
      <c r="B7" t="s">
        <v>23</v>
      </c>
      <c r="C7" t="s">
        <v>24</v>
      </c>
      <c r="D7" t="s">
        <v>13</v>
      </c>
      <c r="E7">
        <v>1</v>
      </c>
      <c r="F7">
        <v>45000</v>
      </c>
      <c r="G7" t="s">
        <v>25</v>
      </c>
      <c r="J7">
        <f t="shared" si="0"/>
        <v>45000</v>
      </c>
    </row>
    <row r="8" spans="1:10" x14ac:dyDescent="0.25">
      <c r="A8">
        <v>305</v>
      </c>
      <c r="B8" t="s">
        <v>11</v>
      </c>
      <c r="C8" t="s">
        <v>12</v>
      </c>
      <c r="D8" t="s">
        <v>17</v>
      </c>
      <c r="E8">
        <v>4</v>
      </c>
      <c r="F8">
        <v>15000</v>
      </c>
      <c r="G8" t="s">
        <v>26</v>
      </c>
      <c r="J8">
        <f t="shared" si="0"/>
        <v>60000</v>
      </c>
    </row>
    <row r="9" spans="1:10" x14ac:dyDescent="0.25">
      <c r="A9">
        <v>306</v>
      </c>
      <c r="B9" t="s">
        <v>15</v>
      </c>
      <c r="C9" t="s">
        <v>16</v>
      </c>
      <c r="D9" t="s">
        <v>13</v>
      </c>
      <c r="E9">
        <v>2</v>
      </c>
      <c r="F9">
        <v>45000</v>
      </c>
      <c r="G9" t="s">
        <v>27</v>
      </c>
    </row>
    <row r="11" spans="1:10" x14ac:dyDescent="0.25">
      <c r="A11" t="s">
        <v>43</v>
      </c>
    </row>
    <row r="12" spans="1:10" x14ac:dyDescent="0.25">
      <c r="G12" t="s">
        <v>74</v>
      </c>
    </row>
    <row r="13" spans="1:10" x14ac:dyDescent="0.25">
      <c r="A13" t="s">
        <v>7</v>
      </c>
      <c r="B13" t="s">
        <v>28</v>
      </c>
      <c r="C13" t="s">
        <v>29</v>
      </c>
      <c r="G13" t="e">
        <f>VLOOKUP(G12,A13:C16,C13/100)</f>
        <v>#VALUE!</v>
      </c>
    </row>
    <row r="14" spans="1:10" x14ac:dyDescent="0.25">
      <c r="A14" t="s">
        <v>13</v>
      </c>
      <c r="B14" t="s">
        <v>30</v>
      </c>
      <c r="C14">
        <v>18</v>
      </c>
      <c r="G14" t="e">
        <f t="shared" ref="G14:G16" si="1">VLOOKUP(G13,A14:C17,C14/100)</f>
        <v>#VALUE!</v>
      </c>
    </row>
    <row r="15" spans="1:10" x14ac:dyDescent="0.25">
      <c r="A15" t="s">
        <v>17</v>
      </c>
      <c r="B15" t="s">
        <v>30</v>
      </c>
      <c r="C15">
        <v>12</v>
      </c>
      <c r="G15" t="e">
        <f t="shared" si="1"/>
        <v>#VALUE!</v>
      </c>
    </row>
    <row r="16" spans="1:10" x14ac:dyDescent="0.25">
      <c r="A16" t="s">
        <v>21</v>
      </c>
      <c r="B16" t="s">
        <v>30</v>
      </c>
      <c r="C16">
        <v>12</v>
      </c>
      <c r="G16" t="e">
        <f t="shared" si="1"/>
        <v>#VALUE!</v>
      </c>
    </row>
    <row r="18" spans="1:12" x14ac:dyDescent="0.25">
      <c r="A18" t="s">
        <v>44</v>
      </c>
    </row>
    <row r="20" spans="1:12" x14ac:dyDescent="0.25">
      <c r="A20" t="s">
        <v>4</v>
      </c>
      <c r="B20" t="s">
        <v>5</v>
      </c>
      <c r="C20" t="s">
        <v>6</v>
      </c>
      <c r="D20" t="s">
        <v>7</v>
      </c>
      <c r="E20" t="s">
        <v>8</v>
      </c>
      <c r="F20" t="s">
        <v>9</v>
      </c>
      <c r="G20" t="s">
        <v>10</v>
      </c>
      <c r="I20" t="s">
        <v>75</v>
      </c>
      <c r="J20" s="1" t="s">
        <v>76</v>
      </c>
      <c r="L20" s="1" t="s">
        <v>77</v>
      </c>
    </row>
    <row r="21" spans="1:12" x14ac:dyDescent="0.25">
      <c r="A21">
        <v>301</v>
      </c>
      <c r="B21" t="s">
        <v>11</v>
      </c>
      <c r="C21" t="s">
        <v>12</v>
      </c>
      <c r="D21" t="s">
        <v>13</v>
      </c>
      <c r="E21">
        <v>2</v>
      </c>
      <c r="F21">
        <v>45000</v>
      </c>
      <c r="G21" t="s">
        <v>14</v>
      </c>
      <c r="I21">
        <v>18</v>
      </c>
      <c r="J21">
        <f>F21*I21/100</f>
        <v>8100</v>
      </c>
      <c r="L21">
        <f>F21+J21</f>
        <v>53100</v>
      </c>
    </row>
    <row r="22" spans="1:12" x14ac:dyDescent="0.25">
      <c r="A22">
        <v>302</v>
      </c>
      <c r="B22" t="s">
        <v>15</v>
      </c>
      <c r="C22" t="s">
        <v>16</v>
      </c>
      <c r="D22" t="s">
        <v>17</v>
      </c>
      <c r="E22">
        <v>5</v>
      </c>
      <c r="F22">
        <v>15000</v>
      </c>
      <c r="G22" t="s">
        <v>18</v>
      </c>
      <c r="I22">
        <v>12</v>
      </c>
      <c r="J22">
        <f t="shared" ref="J22:J26" si="2">F22*I22/100</f>
        <v>1800</v>
      </c>
      <c r="L22">
        <f t="shared" ref="L22:L26" si="3">F22+J22</f>
        <v>16800</v>
      </c>
    </row>
    <row r="23" spans="1:12" x14ac:dyDescent="0.25">
      <c r="A23">
        <v>303</v>
      </c>
      <c r="B23" t="s">
        <v>19</v>
      </c>
      <c r="C23" t="s">
        <v>20</v>
      </c>
      <c r="D23" t="s">
        <v>21</v>
      </c>
      <c r="E23">
        <v>3</v>
      </c>
      <c r="F23">
        <v>18000</v>
      </c>
      <c r="G23" t="s">
        <v>22</v>
      </c>
      <c r="I23">
        <v>12</v>
      </c>
      <c r="J23">
        <f t="shared" si="2"/>
        <v>2160</v>
      </c>
      <c r="L23">
        <f t="shared" si="3"/>
        <v>20160</v>
      </c>
    </row>
    <row r="24" spans="1:12" x14ac:dyDescent="0.25">
      <c r="A24">
        <v>304</v>
      </c>
      <c r="B24" t="s">
        <v>23</v>
      </c>
      <c r="C24" t="s">
        <v>24</v>
      </c>
      <c r="D24" t="s">
        <v>13</v>
      </c>
      <c r="E24">
        <v>1</v>
      </c>
      <c r="F24">
        <v>45000</v>
      </c>
      <c r="G24" t="s">
        <v>25</v>
      </c>
      <c r="I24">
        <v>18</v>
      </c>
      <c r="J24">
        <f t="shared" si="2"/>
        <v>8100</v>
      </c>
      <c r="L24">
        <f t="shared" si="3"/>
        <v>53100</v>
      </c>
    </row>
    <row r="25" spans="1:12" x14ac:dyDescent="0.25">
      <c r="A25">
        <v>305</v>
      </c>
      <c r="B25" t="s">
        <v>11</v>
      </c>
      <c r="C25" t="s">
        <v>12</v>
      </c>
      <c r="D25" t="s">
        <v>17</v>
      </c>
      <c r="E25">
        <v>4</v>
      </c>
      <c r="F25">
        <v>15000</v>
      </c>
      <c r="G25" t="s">
        <v>26</v>
      </c>
      <c r="I25">
        <v>12</v>
      </c>
      <c r="J25">
        <f t="shared" si="2"/>
        <v>1800</v>
      </c>
      <c r="L25">
        <f t="shared" si="3"/>
        <v>16800</v>
      </c>
    </row>
    <row r="26" spans="1:12" x14ac:dyDescent="0.25">
      <c r="A26">
        <v>306</v>
      </c>
      <c r="B26" t="s">
        <v>15</v>
      </c>
      <c r="C26" t="s">
        <v>16</v>
      </c>
      <c r="D26" t="s">
        <v>13</v>
      </c>
      <c r="E26">
        <v>2</v>
      </c>
      <c r="F26">
        <v>45000</v>
      </c>
      <c r="G26" t="s">
        <v>27</v>
      </c>
      <c r="I26">
        <v>18</v>
      </c>
      <c r="J26">
        <f t="shared" si="2"/>
        <v>8100</v>
      </c>
      <c r="L26">
        <f t="shared" si="3"/>
        <v>53100</v>
      </c>
    </row>
    <row r="28" spans="1:12" x14ac:dyDescent="0.25">
      <c r="A28" t="s">
        <v>45</v>
      </c>
    </row>
    <row r="30" spans="1:12" x14ac:dyDescent="0.25">
      <c r="A30" s="1" t="s">
        <v>78</v>
      </c>
      <c r="C30">
        <f>SUM(L21:L26)</f>
        <v>213060</v>
      </c>
    </row>
    <row r="32" spans="1:12" x14ac:dyDescent="0.25">
      <c r="A32" t="s">
        <v>46</v>
      </c>
    </row>
    <row r="34" spans="1:10" x14ac:dyDescent="0.25">
      <c r="A34" t="s">
        <v>4</v>
      </c>
      <c r="B34" t="s">
        <v>5</v>
      </c>
      <c r="C34" t="s">
        <v>6</v>
      </c>
      <c r="D34" t="s">
        <v>7</v>
      </c>
      <c r="E34" t="s">
        <v>8</v>
      </c>
      <c r="F34" t="s">
        <v>9</v>
      </c>
      <c r="G34" t="s">
        <v>10</v>
      </c>
      <c r="I34" s="1" t="s">
        <v>79</v>
      </c>
    </row>
    <row r="35" spans="1:10" x14ac:dyDescent="0.25">
      <c r="A35">
        <v>301</v>
      </c>
      <c r="B35" t="s">
        <v>11</v>
      </c>
      <c r="C35" t="s">
        <v>12</v>
      </c>
      <c r="D35" t="s">
        <v>13</v>
      </c>
      <c r="E35">
        <v>2</v>
      </c>
      <c r="F35">
        <v>45000</v>
      </c>
      <c r="G35" t="s">
        <v>14</v>
      </c>
      <c r="I35">
        <f>COUNTA(A35,E35)</f>
        <v>2</v>
      </c>
    </row>
    <row r="36" spans="1:10" x14ac:dyDescent="0.25">
      <c r="A36">
        <v>302</v>
      </c>
      <c r="B36" t="s">
        <v>15</v>
      </c>
      <c r="C36" t="s">
        <v>16</v>
      </c>
      <c r="D36" t="s">
        <v>17</v>
      </c>
      <c r="E36">
        <v>5</v>
      </c>
      <c r="F36">
        <v>15000</v>
      </c>
      <c r="G36" t="s">
        <v>18</v>
      </c>
      <c r="I36">
        <f t="shared" ref="I36:I40" si="4">COUNTA(A36,E36)</f>
        <v>2</v>
      </c>
    </row>
    <row r="37" spans="1:10" x14ac:dyDescent="0.25">
      <c r="A37">
        <v>303</v>
      </c>
      <c r="B37" t="s">
        <v>19</v>
      </c>
      <c r="C37" t="s">
        <v>20</v>
      </c>
      <c r="D37" t="s">
        <v>21</v>
      </c>
      <c r="E37">
        <v>3</v>
      </c>
      <c r="F37">
        <v>18000</v>
      </c>
      <c r="G37" t="s">
        <v>22</v>
      </c>
      <c r="I37">
        <f t="shared" si="4"/>
        <v>2</v>
      </c>
    </row>
    <row r="38" spans="1:10" x14ac:dyDescent="0.25">
      <c r="A38">
        <v>304</v>
      </c>
      <c r="B38" t="s">
        <v>23</v>
      </c>
      <c r="C38" t="s">
        <v>24</v>
      </c>
      <c r="D38" t="s">
        <v>13</v>
      </c>
      <c r="E38">
        <v>1</v>
      </c>
      <c r="F38">
        <v>45000</v>
      </c>
      <c r="G38" t="s">
        <v>25</v>
      </c>
      <c r="I38">
        <f t="shared" si="4"/>
        <v>2</v>
      </c>
    </row>
    <row r="39" spans="1:10" x14ac:dyDescent="0.25">
      <c r="A39">
        <v>305</v>
      </c>
      <c r="B39" t="s">
        <v>11</v>
      </c>
      <c r="C39" t="s">
        <v>12</v>
      </c>
      <c r="D39" t="s">
        <v>17</v>
      </c>
      <c r="E39">
        <v>4</v>
      </c>
      <c r="F39">
        <v>15000</v>
      </c>
      <c r="G39" t="s">
        <v>26</v>
      </c>
      <c r="I39">
        <f t="shared" si="4"/>
        <v>2</v>
      </c>
    </row>
    <row r="40" spans="1:10" x14ac:dyDescent="0.25">
      <c r="A40">
        <v>306</v>
      </c>
      <c r="B40" t="s">
        <v>15</v>
      </c>
      <c r="C40" t="s">
        <v>16</v>
      </c>
      <c r="D40" t="s">
        <v>13</v>
      </c>
      <c r="E40">
        <v>2</v>
      </c>
      <c r="F40">
        <v>45000</v>
      </c>
      <c r="G40" t="s">
        <v>27</v>
      </c>
      <c r="I40">
        <f t="shared" si="4"/>
        <v>2</v>
      </c>
    </row>
    <row r="43" spans="1:10" x14ac:dyDescent="0.25">
      <c r="A43" t="s">
        <v>47</v>
      </c>
    </row>
    <row r="44" spans="1:10" x14ac:dyDescent="0.25">
      <c r="A44" t="s">
        <v>4</v>
      </c>
      <c r="B44" t="s">
        <v>5</v>
      </c>
      <c r="C44" t="s">
        <v>6</v>
      </c>
      <c r="D44" t="s">
        <v>7</v>
      </c>
      <c r="E44" t="s">
        <v>8</v>
      </c>
      <c r="F44" t="s">
        <v>9</v>
      </c>
      <c r="G44" t="s">
        <v>10</v>
      </c>
      <c r="I44" s="2" t="s">
        <v>80</v>
      </c>
      <c r="J44" s="1" t="s">
        <v>77</v>
      </c>
    </row>
    <row r="45" spans="1:10" x14ac:dyDescent="0.25">
      <c r="A45">
        <v>301</v>
      </c>
      <c r="B45" t="s">
        <v>11</v>
      </c>
      <c r="C45" t="s">
        <v>12</v>
      </c>
      <c r="D45" t="s">
        <v>13</v>
      </c>
      <c r="E45">
        <v>2</v>
      </c>
      <c r="F45">
        <v>45000</v>
      </c>
      <c r="G45" t="s">
        <v>14</v>
      </c>
      <c r="I45">
        <f>SUMIF(B45:B49,"north",L21:L26)</f>
        <v>69900</v>
      </c>
    </row>
    <row r="46" spans="1:10" x14ac:dyDescent="0.25">
      <c r="A46">
        <v>302</v>
      </c>
      <c r="B46" t="s">
        <v>15</v>
      </c>
      <c r="C46" t="s">
        <v>16</v>
      </c>
      <c r="D46" t="s">
        <v>17</v>
      </c>
      <c r="E46">
        <v>5</v>
      </c>
      <c r="F46">
        <v>15000</v>
      </c>
      <c r="G46" t="s">
        <v>18</v>
      </c>
      <c r="I46">
        <f>SUMIF(B45:B50,"EAST",L21:L26)</f>
        <v>20160</v>
      </c>
    </row>
    <row r="47" spans="1:10" x14ac:dyDescent="0.25">
      <c r="A47">
        <v>303</v>
      </c>
      <c r="B47" t="s">
        <v>19</v>
      </c>
      <c r="C47" t="s">
        <v>20</v>
      </c>
      <c r="D47" t="s">
        <v>21</v>
      </c>
      <c r="E47">
        <v>3</v>
      </c>
      <c r="F47">
        <v>18000</v>
      </c>
      <c r="G47" t="s">
        <v>22</v>
      </c>
      <c r="I47">
        <f>SUMIF(B45:B50,"south",L21:L26)</f>
        <v>69900</v>
      </c>
    </row>
    <row r="48" spans="1:10" x14ac:dyDescent="0.25">
      <c r="A48">
        <v>304</v>
      </c>
      <c r="B48" t="s">
        <v>23</v>
      </c>
      <c r="C48" t="s">
        <v>24</v>
      </c>
      <c r="D48" t="s">
        <v>13</v>
      </c>
      <c r="E48">
        <v>1</v>
      </c>
      <c r="F48">
        <v>45000</v>
      </c>
      <c r="G48" t="s">
        <v>25</v>
      </c>
      <c r="I48">
        <f>SUMIF(B45:B50,"west",L21:L26)</f>
        <v>53100</v>
      </c>
    </row>
    <row r="49" spans="1:7" x14ac:dyDescent="0.25">
      <c r="A49">
        <v>305</v>
      </c>
      <c r="B49" t="s">
        <v>11</v>
      </c>
      <c r="C49" t="s">
        <v>12</v>
      </c>
      <c r="D49" t="s">
        <v>17</v>
      </c>
      <c r="E49">
        <v>4</v>
      </c>
      <c r="F49">
        <v>15000</v>
      </c>
      <c r="G49" t="s">
        <v>26</v>
      </c>
    </row>
    <row r="50" spans="1:7" x14ac:dyDescent="0.25">
      <c r="A50">
        <v>306</v>
      </c>
      <c r="B50" t="s">
        <v>15</v>
      </c>
      <c r="C50" t="s">
        <v>16</v>
      </c>
      <c r="D50" t="s">
        <v>13</v>
      </c>
      <c r="E50">
        <v>2</v>
      </c>
      <c r="F50">
        <v>45000</v>
      </c>
      <c r="G50" t="s">
        <v>27</v>
      </c>
    </row>
  </sheetData>
  <pageMargins left="0.7" right="0.7" top="0.75" bottom="0.75" header="0.3" footer="0.3"/>
  <ignoredErrors>
    <ignoredError sqref="G13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Sales_Data</vt:lpstr>
      <vt:lpstr>Product_Master</vt:lpstr>
      <vt:lpstr>Student_Marks</vt:lpstr>
      <vt:lpstr>Questions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ASDC45</cp:lastModifiedBy>
  <dcterms:created xsi:type="dcterms:W3CDTF">2025-12-20T09:26:06Z</dcterms:created>
  <dcterms:modified xsi:type="dcterms:W3CDTF">2026-07-13T07:16:31Z</dcterms:modified>
</cp:coreProperties>
</file>